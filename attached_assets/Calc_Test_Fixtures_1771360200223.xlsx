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 Fixtur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lcTable" displayName="CalcTable" ref="A1:AJ15" headerRowCount="1">
  <autoFilter ref="A1:AJ15"/>
  <tableColumns count="36">
    <tableColumn id="1" name="TestCase"/>
    <tableColumn id="2" name="Cash"/>
    <tableColumn id="3" name="Burn"/>
    <tableColumn id="4" name="MRR"/>
    <tableColumn id="5" name="Revenue"/>
    <tableColumn id="6" name="COGS"/>
    <tableColumn id="7" name="OpEx"/>
    <tableColumn id="8" name="Prev"/>
    <tableColumn id="9" name="Curr"/>
    <tableColumn id="10" name="StartMRR"/>
    <tableColumn id="11" name="Expansion"/>
    <tableColumn id="12" name="Contraction"/>
    <tableColumn id="13" name="Churn"/>
    <tableColumn id="14" name="ARPA"/>
    <tableColumn id="15" name="GM"/>
    <tableColumn id="16" name="ChurnRate"/>
    <tableColumn id="17" name="Spend"/>
    <tableColumn id="18" name="NewCustomers"/>
    <tableColumn id="19" name="Expected_Runway"/>
    <tableColumn id="20" name="Expected_ARR"/>
    <tableColumn id="21" name="Expected_GM"/>
    <tableColumn id="22" name="Expected_MoMGrowth"/>
    <tableColumn id="23" name="Expected_NRR"/>
    <tableColumn id="24" name="Expected_CAC"/>
    <tableColumn id="25" name="Expected_LTV"/>
    <tableColumn id="26" name="Expected_Payback"/>
    <tableColumn id="27" name="Notes"/>
    <tableColumn id="28" name="Calc_ARR"/>
    <tableColumn id="29" name="Calc_GM"/>
    <tableColumn id="30" name="Calc_Burn"/>
    <tableColumn id="31" name="Calc_Runway"/>
    <tableColumn id="32" name="Calc_MoMGrowth"/>
    <tableColumn id="33" name="Calc_NRR"/>
    <tableColumn id="34" name="Calc_CAC"/>
    <tableColumn id="35" name="Calc_LTV"/>
    <tableColumn id="36" name="Calc_Payback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TestCase</t>
        </is>
      </c>
      <c r="B1" s="1" t="inlineStr">
        <is>
          <t>Cash</t>
        </is>
      </c>
      <c r="C1" s="1" t="inlineStr">
        <is>
          <t>Burn</t>
        </is>
      </c>
      <c r="D1" s="1" t="inlineStr">
        <is>
          <t>MRR</t>
        </is>
      </c>
      <c r="E1" s="1" t="inlineStr">
        <is>
          <t>Revenue</t>
        </is>
      </c>
      <c r="F1" s="1" t="inlineStr">
        <is>
          <t>COGS</t>
        </is>
      </c>
      <c r="G1" s="1" t="inlineStr">
        <is>
          <t>OpEx</t>
        </is>
      </c>
      <c r="H1" s="1" t="inlineStr">
        <is>
          <t>Prev</t>
        </is>
      </c>
      <c r="I1" s="1" t="inlineStr">
        <is>
          <t>Curr</t>
        </is>
      </c>
      <c r="J1" s="1" t="inlineStr">
        <is>
          <t>StartMRR</t>
        </is>
      </c>
      <c r="K1" s="1" t="inlineStr">
        <is>
          <t>Expansion</t>
        </is>
      </c>
      <c r="L1" s="1" t="inlineStr">
        <is>
          <t>Contraction</t>
        </is>
      </c>
      <c r="M1" s="1" t="inlineStr">
        <is>
          <t>Churn</t>
        </is>
      </c>
      <c r="N1" s="1" t="inlineStr">
        <is>
          <t>ARPA</t>
        </is>
      </c>
      <c r="O1" s="1" t="inlineStr">
        <is>
          <t>GM</t>
        </is>
      </c>
      <c r="P1" s="1" t="inlineStr">
        <is>
          <t>ChurnRate</t>
        </is>
      </c>
      <c r="Q1" s="1" t="inlineStr">
        <is>
          <t>Spend</t>
        </is>
      </c>
      <c r="R1" s="1" t="inlineStr">
        <is>
          <t>NewCustomers</t>
        </is>
      </c>
      <c r="S1" s="1" t="inlineStr">
        <is>
          <t>Expected_Runway</t>
        </is>
      </c>
      <c r="T1" s="1" t="inlineStr">
        <is>
          <t>Expected_ARR</t>
        </is>
      </c>
      <c r="U1" s="1" t="inlineStr">
        <is>
          <t>Expected_GM</t>
        </is>
      </c>
      <c r="V1" s="1" t="inlineStr">
        <is>
          <t>Expected_MoMGrowth</t>
        </is>
      </c>
      <c r="W1" s="1" t="inlineStr">
        <is>
          <t>Expected_NRR</t>
        </is>
      </c>
      <c r="X1" s="1" t="inlineStr">
        <is>
          <t>Expected_CAC</t>
        </is>
      </c>
      <c r="Y1" s="1" t="inlineStr">
        <is>
          <t>Expected_LTV</t>
        </is>
      </c>
      <c r="Z1" s="1" t="inlineStr">
        <is>
          <t>Expected_Payback</t>
        </is>
      </c>
      <c r="AA1" s="1" t="inlineStr">
        <is>
          <t>Notes</t>
        </is>
      </c>
      <c r="AB1" s="2" t="inlineStr">
        <is>
          <t>Calc_ARR</t>
        </is>
      </c>
      <c r="AC1" s="2" t="inlineStr">
        <is>
          <t>Calc_GM</t>
        </is>
      </c>
      <c r="AD1" s="2" t="inlineStr">
        <is>
          <t>Calc_Burn</t>
        </is>
      </c>
      <c r="AE1" s="2" t="inlineStr">
        <is>
          <t>Calc_Runway</t>
        </is>
      </c>
      <c r="AF1" s="2" t="inlineStr">
        <is>
          <t>Calc_MoMGrowth</t>
        </is>
      </c>
      <c r="AG1" s="2" t="inlineStr">
        <is>
          <t>Calc_NRR</t>
        </is>
      </c>
      <c r="AH1" s="2" t="inlineStr">
        <is>
          <t>Calc_CAC</t>
        </is>
      </c>
      <c r="AI1" s="2" t="inlineStr">
        <is>
          <t>Calc_LTV</t>
        </is>
      </c>
      <c r="AJ1" s="2" t="inlineStr">
        <is>
          <t>Calc_Payback</t>
        </is>
      </c>
    </row>
    <row r="2">
      <c r="A2" t="inlineStr">
        <is>
          <t>TC01_RUNWAY_BASIC</t>
        </is>
      </c>
      <c r="B2" t="n">
        <v>4500000</v>
      </c>
      <c r="C2" t="n">
        <v>382000</v>
      </c>
      <c r="D2" t="n">
        <v/>
      </c>
      <c r="E2" t="n">
        <v/>
      </c>
      <c r="F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>11.78010471204188</v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inlineStr">
        <is>
          <t>Runway = Cash/Burn; expect ~11.78, display 11.8</t>
        </is>
      </c>
      <c r="AB2">
        <f>IF([@MRR]="", "", [@MRR]*12)</f>
        <v/>
      </c>
      <c r="AC2">
        <f>IF(OR([@Revenue]="",[@Revenue]&lt;=0), "", ([@Revenue]-[@COGS]) / [@Revenue])</f>
        <v/>
      </c>
      <c r="AD2">
        <f>IF(OR([@Revenue]="",[@OpEx]="",[@COGS]=""), "", MAX(0, [@OpEx]+[@COGS]-[@Revenue]))</f>
        <v/>
      </c>
      <c r="AE2">
        <f>IF(OR([@Cash]="",[@Burn]=""), "", IF([@Burn]&lt;=0, "Cashflow+", [@Cash]/[@Burn]))</f>
        <v/>
      </c>
      <c r="AF2">
        <f>IF(OR([@Prev]="",[@Curr]=""), "", IF([@Prev]&lt;1000, "N/A", ([@Curr]-[@Prev]) / [@Prev]))</f>
        <v/>
      </c>
      <c r="AG2">
        <f>IF([@StartMRR]="", "", IF([@StartMRR]&lt;1000, "N/A", ([@StartMRR]+[@Expansion]-[@Contraction]-[@Churn]) / [@StartMRR]))</f>
        <v/>
      </c>
      <c r="AH2">
        <f>IF(OR([@Spend]="",[@NewCustomers]=""), "", IF([@NewCustomers]&lt;=0, "N/A", [@Spend]/[@NewCustomers]))</f>
        <v/>
      </c>
      <c r="AI2">
        <f>IF(OR([@ARPA]="",[@GM]="",[@ChurnRate]=""), "", IF([@ChurnRate]&lt;=0, "N/A", [@ARPA]*[@GM]/[@ChurnRate]))</f>
        <v/>
      </c>
      <c r="AJ2">
        <f>IF(OR([@ARPA]="",[@GM]=""), "", IF(([@ARPA]*[@GM])&lt;=0, "N/A", 200/([@ARPA]*[@GM])))</f>
        <v/>
      </c>
    </row>
    <row r="3">
      <c r="A3" t="inlineStr">
        <is>
          <t>TC02_RUNWAY_BURN_ZERO</t>
        </is>
      </c>
      <c r="B3" t="n">
        <v>2000000</v>
      </c>
      <c r="C3" t="n">
        <v>0</v>
      </c>
      <c r="D3" t="n">
        <v/>
      </c>
      <c r="E3" t="n">
        <v/>
      </c>
      <c r="F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inlineStr">
        <is>
          <t>Burn&lt;=0 =&gt; 'Cashflow+' or N/A (guard)</t>
        </is>
      </c>
      <c r="AB3">
        <f>IF([@MRR]="", "", [@MRR]*12)</f>
        <v/>
      </c>
      <c r="AC3">
        <f>IF(OR([@Revenue]="",[@Revenue]&lt;=0), "", ([@Revenue]-[@COGS]) / [@Revenue])</f>
        <v/>
      </c>
      <c r="AD3">
        <f>IF(OR([@Revenue]="",[@OpEx]="",[@COGS]=""), "", MAX(0, [@OpEx]+[@COGS]-[@Revenue]))</f>
        <v/>
      </c>
      <c r="AE3">
        <f>IF(OR([@Cash]="",[@Burn]=""), "", IF([@Burn]&lt;=0, "Cashflow+", [@Cash]/[@Burn]))</f>
        <v/>
      </c>
      <c r="AF3">
        <f>IF(OR([@Prev]="",[@Curr]=""), "", IF([@Prev]&lt;1000, "N/A", ([@Curr]-[@Prev]) / [@Prev]))</f>
        <v/>
      </c>
      <c r="AG3">
        <f>IF([@StartMRR]="", "", IF([@StartMRR]&lt;1000, "N/A", ([@StartMRR]+[@Expansion]-[@Contraction]-[@Churn]) / [@StartMRR]))</f>
        <v/>
      </c>
      <c r="AH3">
        <f>IF(OR([@Spend]="",[@NewCustomers]=""), "", IF([@NewCustomers]&lt;=0, "N/A", [@Spend]/[@NewCustomers]))</f>
        <v/>
      </c>
      <c r="AI3">
        <f>IF(OR([@ARPA]="",[@GM]="",[@ChurnRate]=""), "", IF([@ChurnRate]&lt;=0, "N/A", [@ARPA]*[@GM]/[@ChurnRate]))</f>
        <v/>
      </c>
      <c r="AJ3">
        <f>IF(OR([@ARPA]="",[@GM]=""), "", IF(([@ARPA]*[@GM])&lt;=0, "N/A", 200/([@ARPA]*[@GM])))</f>
        <v/>
      </c>
    </row>
    <row r="4">
      <c r="A4" t="inlineStr">
        <is>
          <t>TC03_ARR_BASIC</t>
        </is>
      </c>
      <c r="B4" t="n">
        <v/>
      </c>
      <c r="C4" t="n">
        <v/>
      </c>
      <c r="D4" t="n">
        <v>520000</v>
      </c>
      <c r="E4" t="n">
        <v/>
      </c>
      <c r="F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6240000</v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inlineStr">
        <is>
          <t>ARR = MRR*12</t>
        </is>
      </c>
      <c r="AB4">
        <f>IF([@MRR]="", "", [@MRR]*12)</f>
        <v/>
      </c>
      <c r="AC4">
        <f>IF(OR([@Revenue]="",[@Revenue]&lt;=0), "", ([@Revenue]-[@COGS]) / [@Revenue])</f>
        <v/>
      </c>
      <c r="AD4">
        <f>IF(OR([@Revenue]="",[@OpEx]="",[@COGS]=""), "", MAX(0, [@OpEx]+[@COGS]-[@Revenue]))</f>
        <v/>
      </c>
      <c r="AE4">
        <f>IF(OR([@Cash]="",[@Burn]=""), "", IF([@Burn]&lt;=0, "Cashflow+", [@Cash]/[@Burn]))</f>
        <v/>
      </c>
      <c r="AF4">
        <f>IF(OR([@Prev]="",[@Curr]=""), "", IF([@Prev]&lt;1000, "N/A", ([@Curr]-[@Prev]) / [@Prev]))</f>
        <v/>
      </c>
      <c r="AG4">
        <f>IF([@StartMRR]="", "", IF([@StartMRR]&lt;1000, "N/A", ([@StartMRR]+[@Expansion]-[@Contraction]-[@Churn]) / [@StartMRR]))</f>
        <v/>
      </c>
      <c r="AH4">
        <f>IF(OR([@Spend]="",[@NewCustomers]=""), "", IF([@NewCustomers]&lt;=0, "N/A", [@Spend]/[@NewCustomers]))</f>
        <v/>
      </c>
      <c r="AI4">
        <f>IF(OR([@ARPA]="",[@GM]="",[@ChurnRate]=""), "", IF([@ChurnRate]&lt;=0, "N/A", [@ARPA]*[@GM]/[@ChurnRate]))</f>
        <v/>
      </c>
      <c r="AJ4">
        <f>IF(OR([@ARPA]="",[@GM]=""), "", IF(([@ARPA]*[@GM])&lt;=0, "N/A", 200/([@ARPA]*[@GM])))</f>
        <v/>
      </c>
    </row>
    <row r="5">
      <c r="A5" t="inlineStr">
        <is>
          <t>TC04_GROSS_MARGIN_BASIC</t>
        </is>
      </c>
      <c r="B5" t="n">
        <v/>
      </c>
      <c r="C5" t="n">
        <v/>
      </c>
      <c r="D5" t="n">
        <v/>
      </c>
      <c r="E5" t="n">
        <v>1000000</v>
      </c>
      <c r="F5" t="n">
        <v>200000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>0.8</v>
      </c>
      <c r="V5" t="n">
        <v/>
      </c>
      <c r="W5" t="n">
        <v/>
      </c>
      <c r="X5" t="n">
        <v/>
      </c>
      <c r="Y5" t="n">
        <v/>
      </c>
      <c r="Z5" t="n">
        <v/>
      </c>
      <c r="AA5" t="inlineStr">
        <is>
          <t>GM% = (Revenue-COGS)/Revenue</t>
        </is>
      </c>
      <c r="AB5">
        <f>IF([@MRR]="", "", [@MRR]*12)</f>
        <v/>
      </c>
      <c r="AC5">
        <f>IF(OR([@Revenue]="",[@Revenue]&lt;=0), "", ([@Revenue]-[@COGS]) / [@Revenue])</f>
        <v/>
      </c>
      <c r="AD5">
        <f>IF(OR([@Revenue]="",[@OpEx]="",[@COGS]=""), "", MAX(0, [@OpEx]+[@COGS]-[@Revenue]))</f>
        <v/>
      </c>
      <c r="AE5">
        <f>IF(OR([@Cash]="",[@Burn]=""), "", IF([@Burn]&lt;=0, "Cashflow+", [@Cash]/[@Burn]))</f>
        <v/>
      </c>
      <c r="AF5">
        <f>IF(OR([@Prev]="",[@Curr]=""), "", IF([@Prev]&lt;1000, "N/A", ([@Curr]-[@Prev]) / [@Prev]))</f>
        <v/>
      </c>
      <c r="AG5">
        <f>IF([@StartMRR]="", "", IF([@StartMRR]&lt;1000, "N/A", ([@StartMRR]+[@Expansion]-[@Contraction]-[@Churn]) / [@StartMRR]))</f>
        <v/>
      </c>
      <c r="AH5">
        <f>IF(OR([@Spend]="",[@NewCustomers]=""), "", IF([@NewCustomers]&lt;=0, "N/A", [@Spend]/[@NewCustomers]))</f>
        <v/>
      </c>
      <c r="AI5">
        <f>IF(OR([@ARPA]="",[@GM]="",[@ChurnRate]=""), "", IF([@ChurnRate]&lt;=0, "N/A", [@ARPA]*[@GM]/[@ChurnRate]))</f>
        <v/>
      </c>
      <c r="AJ5">
        <f>IF(OR([@ARPA]="",[@GM]=""), "", IF(([@ARPA]*[@GM])&lt;=0, "N/A", 200/([@ARPA]*[@GM])))</f>
        <v/>
      </c>
    </row>
    <row r="6">
      <c r="A6" t="inlineStr">
        <is>
          <t>TC05_GM_REVENUE_ZERO</t>
        </is>
      </c>
      <c r="B6" t="n">
        <v/>
      </c>
      <c r="C6" t="n">
        <v/>
      </c>
      <c r="D6" t="n">
        <v/>
      </c>
      <c r="E6" t="n">
        <v>0</v>
      </c>
      <c r="F6" t="n">
        <v>200000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inlineStr">
        <is>
          <t>Revenue&lt;=0 =&gt; GM N/A (guard)</t>
        </is>
      </c>
      <c r="AB6">
        <f>IF([@MRR]="", "", [@MRR]*12)</f>
        <v/>
      </c>
      <c r="AC6">
        <f>IF(OR([@Revenue]="",[@Revenue]&lt;=0), "", ([@Revenue]-[@COGS]) / [@Revenue])</f>
        <v/>
      </c>
      <c r="AD6">
        <f>IF(OR([@Revenue]="",[@OpEx]="",[@COGS]=""), "", MAX(0, [@OpEx]+[@COGS]-[@Revenue]))</f>
        <v/>
      </c>
      <c r="AE6">
        <f>IF(OR([@Cash]="",[@Burn]=""), "", IF([@Burn]&lt;=0, "Cashflow+", [@Cash]/[@Burn]))</f>
        <v/>
      </c>
      <c r="AF6">
        <f>IF(OR([@Prev]="",[@Curr]=""), "", IF([@Prev]&lt;1000, "N/A", ([@Curr]-[@Prev]) / [@Prev]))</f>
        <v/>
      </c>
      <c r="AG6">
        <f>IF([@StartMRR]="", "", IF([@StartMRR]&lt;1000, "N/A", ([@StartMRR]+[@Expansion]-[@Contraction]-[@Churn]) / [@StartMRR]))</f>
        <v/>
      </c>
      <c r="AH6">
        <f>IF(OR([@Spend]="",[@NewCustomers]=""), "", IF([@NewCustomers]&lt;=0, "N/A", [@Spend]/[@NewCustomers]))</f>
        <v/>
      </c>
      <c r="AI6">
        <f>IF(OR([@ARPA]="",[@GM]="",[@ChurnRate]=""), "", IF([@ChurnRate]&lt;=0, "N/A", [@ARPA]*[@GM]/[@ChurnRate]))</f>
        <v/>
      </c>
      <c r="AJ6">
        <f>IF(OR([@ARPA]="",[@GM]=""), "", IF(([@ARPA]*[@GM])&lt;=0, "N/A", 200/([@ARPA]*[@GM])))</f>
        <v/>
      </c>
    </row>
    <row r="7">
      <c r="A7" t="inlineStr">
        <is>
          <t>TC06_MOMGROWTH_NORMAL</t>
        </is>
      </c>
      <c r="B7" t="n">
        <v/>
      </c>
      <c r="C7" t="n">
        <v/>
      </c>
      <c r="D7" t="n">
        <v/>
      </c>
      <c r="E7" t="n">
        <v/>
      </c>
      <c r="F7" t="n">
        <v/>
      </c>
      <c r="H7" t="n">
        <v>100000</v>
      </c>
      <c r="I7" t="n">
        <v>110000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>0.1</v>
      </c>
      <c r="W7" t="n">
        <v/>
      </c>
      <c r="X7" t="n">
        <v/>
      </c>
      <c r="Y7" t="n">
        <v/>
      </c>
      <c r="Z7" t="n">
        <v/>
      </c>
      <c r="AA7" t="inlineStr">
        <is>
          <t>MoM Growth = (Curr-Prev)/Prev</t>
        </is>
      </c>
      <c r="AB7">
        <f>IF([@MRR]="", "", [@MRR]*12)</f>
        <v/>
      </c>
      <c r="AC7">
        <f>IF(OR([@Revenue]="",[@Revenue]&lt;=0), "", ([@Revenue]-[@COGS]) / [@Revenue])</f>
        <v/>
      </c>
      <c r="AD7">
        <f>IF(OR([@Revenue]="",[@OpEx]="",[@COGS]=""), "", MAX(0, [@OpEx]+[@COGS]-[@Revenue]))</f>
        <v/>
      </c>
      <c r="AE7">
        <f>IF(OR([@Cash]="",[@Burn]=""), "", IF([@Burn]&lt;=0, "Cashflow+", [@Cash]/[@Burn]))</f>
        <v/>
      </c>
      <c r="AF7">
        <f>IF(OR([@Prev]="",[@Curr]=""), "", IF([@Prev]&lt;1000, "N/A", ([@Curr]-[@Prev]) / [@Prev]))</f>
        <v/>
      </c>
      <c r="AG7">
        <f>IF([@StartMRR]="", "", IF([@StartMRR]&lt;1000, "N/A", ([@StartMRR]+[@Expansion]-[@Contraction]-[@Churn]) / [@StartMRR]))</f>
        <v/>
      </c>
      <c r="AH7">
        <f>IF(OR([@Spend]="",[@NewCustomers]=""), "", IF([@NewCustomers]&lt;=0, "N/A", [@Spend]/[@NewCustomers]))</f>
        <v/>
      </c>
      <c r="AI7">
        <f>IF(OR([@ARPA]="",[@GM]="",[@ChurnRate]=""), "", IF([@ChurnRate]&lt;=0, "N/A", [@ARPA]*[@GM]/[@ChurnRate]))</f>
        <v/>
      </c>
      <c r="AJ7">
        <f>IF(OR([@ARPA]="",[@GM]=""), "", IF(([@ARPA]*[@GM])&lt;=0, "N/A", 200/([@ARPA]*[@GM])))</f>
        <v/>
      </c>
    </row>
    <row r="8">
      <c r="A8" t="inlineStr">
        <is>
          <t>TC07_MOMGROWTH_DENOM_TOO_SMALL</t>
        </is>
      </c>
      <c r="B8" t="n">
        <v/>
      </c>
      <c r="C8" t="n">
        <v/>
      </c>
      <c r="D8" t="n">
        <v/>
      </c>
      <c r="E8" t="n">
        <v/>
      </c>
      <c r="F8" t="n">
        <v/>
      </c>
      <c r="H8" t="n">
        <v>50</v>
      </c>
      <c r="I8" t="n">
        <v>5000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inlineStr">
        <is>
          <t>Prev&lt;MIN_BASELINE =&gt; MoM Growth N/A</t>
        </is>
      </c>
      <c r="AB8">
        <f>IF([@MRR]="", "", [@MRR]*12)</f>
        <v/>
      </c>
      <c r="AC8">
        <f>IF(OR([@Revenue]="",[@Revenue]&lt;=0), "", ([@Revenue]-[@COGS]) / [@Revenue])</f>
        <v/>
      </c>
      <c r="AD8">
        <f>IF(OR([@Revenue]="",[@OpEx]="",[@COGS]=""), "", MAX(0, [@OpEx]+[@COGS]-[@Revenue]))</f>
        <v/>
      </c>
      <c r="AE8">
        <f>IF(OR([@Cash]="",[@Burn]=""), "", IF([@Burn]&lt;=0, "Cashflow+", [@Cash]/[@Burn]))</f>
        <v/>
      </c>
      <c r="AF8">
        <f>IF(OR([@Prev]="",[@Curr]=""), "", IF([@Prev]&lt;1000, "N/A", ([@Curr]-[@Prev]) / [@Prev]))</f>
        <v/>
      </c>
      <c r="AG8">
        <f>IF([@StartMRR]="", "", IF([@StartMRR]&lt;1000, "N/A", ([@StartMRR]+[@Expansion]-[@Contraction]-[@Churn]) / [@StartMRR]))</f>
        <v/>
      </c>
      <c r="AH8">
        <f>IF(OR([@Spend]="",[@NewCustomers]=""), "", IF([@NewCustomers]&lt;=0, "N/A", [@Spend]/[@NewCustomers]))</f>
        <v/>
      </c>
      <c r="AI8">
        <f>IF(OR([@ARPA]="",[@GM]="",[@ChurnRate]=""), "", IF([@ChurnRate]&lt;=0, "N/A", [@ARPA]*[@GM]/[@ChurnRate]))</f>
        <v/>
      </c>
      <c r="AJ8">
        <f>IF(OR([@ARPA]="",[@GM]=""), "", IF(([@ARPA]*[@GM])&lt;=0, "N/A", 200/([@ARPA]*[@GM])))</f>
        <v/>
      </c>
    </row>
    <row r="9">
      <c r="A9" t="inlineStr">
        <is>
          <t>TC08_NRR_NORMAL</t>
        </is>
      </c>
      <c r="B9" t="n">
        <v/>
      </c>
      <c r="C9" t="n">
        <v/>
      </c>
      <c r="D9" t="n">
        <v/>
      </c>
      <c r="E9" t="n">
        <v/>
      </c>
      <c r="F9" t="n">
        <v/>
      </c>
      <c r="H9" t="n">
        <v/>
      </c>
      <c r="I9" t="n">
        <v/>
      </c>
      <c r="J9" t="n">
        <v>100000</v>
      </c>
      <c r="K9" t="n">
        <v>20000</v>
      </c>
      <c r="L9" t="n">
        <v>5000</v>
      </c>
      <c r="M9" t="n">
        <v>10000</v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>1.05</v>
      </c>
      <c r="X9" t="n">
        <v/>
      </c>
      <c r="Y9" t="n">
        <v/>
      </c>
      <c r="Z9" t="n">
        <v/>
      </c>
      <c r="AA9" t="inlineStr">
        <is>
          <t>NRR = (Start+Exp-Contr-Churn)/Start</t>
        </is>
      </c>
      <c r="AB9">
        <f>IF([@MRR]="", "", [@MRR]*12)</f>
        <v/>
      </c>
      <c r="AC9">
        <f>IF(OR([@Revenue]="",[@Revenue]&lt;=0), "", ([@Revenue]-[@COGS]) / [@Revenue])</f>
        <v/>
      </c>
      <c r="AD9">
        <f>IF(OR([@Revenue]="",[@OpEx]="",[@COGS]=""), "", MAX(0, [@OpEx]+[@COGS]-[@Revenue]))</f>
        <v/>
      </c>
      <c r="AE9">
        <f>IF(OR([@Cash]="",[@Burn]=""), "", IF([@Burn]&lt;=0, "Cashflow+", [@Cash]/[@Burn]))</f>
        <v/>
      </c>
      <c r="AF9">
        <f>IF(OR([@Prev]="",[@Curr]=""), "", IF([@Prev]&lt;1000, "N/A", ([@Curr]-[@Prev]) / [@Prev]))</f>
        <v/>
      </c>
      <c r="AG9">
        <f>IF([@StartMRR]="", "", IF([@StartMRR]&lt;1000, "N/A", ([@StartMRR]+[@Expansion]-[@Contraction]-[@Churn]) / [@StartMRR]))</f>
        <v/>
      </c>
      <c r="AH9">
        <f>IF(OR([@Spend]="",[@NewCustomers]=""), "", IF([@NewCustomers]&lt;=0, "N/A", [@Spend]/[@NewCustomers]))</f>
        <v/>
      </c>
      <c r="AI9">
        <f>IF(OR([@ARPA]="",[@GM]="",[@ChurnRate]=""), "", IF([@ChurnRate]&lt;=0, "N/A", [@ARPA]*[@GM]/[@ChurnRate]))</f>
        <v/>
      </c>
      <c r="AJ9">
        <f>IF(OR([@ARPA]="",[@GM]=""), "", IF(([@ARPA]*[@GM])&lt;=0, "N/A", 200/([@ARPA]*[@GM])))</f>
        <v/>
      </c>
    </row>
    <row r="10">
      <c r="A10" t="inlineStr">
        <is>
          <t>TC09_NRR_DENOM_TOO_SMALL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H10" t="n">
        <v/>
      </c>
      <c r="I10" t="n">
        <v/>
      </c>
      <c r="J10" t="n">
        <v>500</v>
      </c>
      <c r="K10" t="n">
        <v>200</v>
      </c>
      <c r="L10" t="n">
        <v>0</v>
      </c>
      <c r="M10" t="n">
        <v>0</v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inlineStr">
        <is>
          <t>StartMRR&lt;MIN_BASELINE =&gt; NRR N/A</t>
        </is>
      </c>
      <c r="AB10">
        <f>IF([@MRR]="", "", [@MRR]*12)</f>
        <v/>
      </c>
      <c r="AC10">
        <f>IF(OR([@Revenue]="",[@Revenue]&lt;=0), "", ([@Revenue]-[@COGS]) / [@Revenue])</f>
        <v/>
      </c>
      <c r="AD10">
        <f>IF(OR([@Revenue]="",[@OpEx]="",[@COGS]=""), "", MAX(0, [@OpEx]+[@COGS]-[@Revenue]))</f>
        <v/>
      </c>
      <c r="AE10">
        <f>IF(OR([@Cash]="",[@Burn]=""), "", IF([@Burn]&lt;=0, "Cashflow+", [@Cash]/[@Burn]))</f>
        <v/>
      </c>
      <c r="AF10">
        <f>IF(OR([@Prev]="",[@Curr]=""), "", IF([@Prev]&lt;1000, "N/A", ([@Curr]-[@Prev]) / [@Prev]))</f>
        <v/>
      </c>
      <c r="AG10">
        <f>IF([@StartMRR]="", "", IF([@StartMRR]&lt;1000, "N/A", ([@StartMRR]+[@Expansion]-[@Contraction]-[@Churn]) / [@StartMRR]))</f>
        <v/>
      </c>
      <c r="AH10">
        <f>IF(OR([@Spend]="",[@NewCustomers]=""), "", IF([@NewCustomers]&lt;=0, "N/A", [@Spend]/[@NewCustomers]))</f>
        <v/>
      </c>
      <c r="AI10">
        <f>IF(OR([@ARPA]="",[@GM]="",[@ChurnRate]=""), "", IF([@ChurnRate]&lt;=0, "N/A", [@ARPA]*[@GM]/[@ChurnRate]))</f>
        <v/>
      </c>
      <c r="AJ10">
        <f>IF(OR([@ARPA]="",[@GM]=""), "", IF(([@ARPA]*[@GM])&lt;=0, "N/A", 200/([@ARPA]*[@GM])))</f>
        <v/>
      </c>
    </row>
    <row r="11">
      <c r="A11" t="inlineStr">
        <is>
          <t>TC10_NRR_OUTLIER_FLAG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H11" t="n">
        <v/>
      </c>
      <c r="I11" t="n">
        <v/>
      </c>
      <c r="J11" t="n">
        <v>10000</v>
      </c>
      <c r="K11" t="n">
        <v>50000</v>
      </c>
      <c r="L11" t="n">
        <v>0</v>
      </c>
      <c r="M11" t="n">
        <v>0</v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>6</v>
      </c>
      <c r="X11" t="n">
        <v/>
      </c>
      <c r="Y11" t="n">
        <v/>
      </c>
      <c r="Z11" t="n">
        <v/>
      </c>
      <c r="AA11" t="inlineStr">
        <is>
          <t>NRR outlier: should return value + OUTLIER warning</t>
        </is>
      </c>
      <c r="AB11">
        <f>IF([@MRR]="", "", [@MRR]*12)</f>
        <v/>
      </c>
      <c r="AC11">
        <f>IF(OR([@Revenue]="",[@Revenue]&lt;=0), "", ([@Revenue]-[@COGS]) / [@Revenue])</f>
        <v/>
      </c>
      <c r="AD11">
        <f>IF(OR([@Revenue]="",[@OpEx]="",[@COGS]=""), "", MAX(0, [@OpEx]+[@COGS]-[@Revenue]))</f>
        <v/>
      </c>
      <c r="AE11">
        <f>IF(OR([@Cash]="",[@Burn]=""), "", IF([@Burn]&lt;=0, "Cashflow+", [@Cash]/[@Burn]))</f>
        <v/>
      </c>
      <c r="AF11">
        <f>IF(OR([@Prev]="",[@Curr]=""), "", IF([@Prev]&lt;1000, "N/A", ([@Curr]-[@Prev]) / [@Prev]))</f>
        <v/>
      </c>
      <c r="AG11">
        <f>IF([@StartMRR]="", "", IF([@StartMRR]&lt;1000, "N/A", ([@StartMRR]+[@Expansion]-[@Contraction]-[@Churn]) / [@StartMRR]))</f>
        <v/>
      </c>
      <c r="AH11">
        <f>IF(OR([@Spend]="",[@NewCustomers]=""), "", IF([@NewCustomers]&lt;=0, "N/A", [@Spend]/[@NewCustomers]))</f>
        <v/>
      </c>
      <c r="AI11">
        <f>IF(OR([@ARPA]="",[@GM]="",[@ChurnRate]=""), "", IF([@ChurnRate]&lt;=0, "N/A", [@ARPA]*[@GM]/[@ChurnRate]))</f>
        <v/>
      </c>
      <c r="AJ11">
        <f>IF(OR([@ARPA]="",[@GM]=""), "", IF(([@ARPA]*[@GM])&lt;=0, "N/A", 200/([@ARPA]*[@GM])))</f>
        <v/>
      </c>
    </row>
    <row r="12">
      <c r="A12" t="inlineStr">
        <is>
          <t>TC11_CAC_BASIC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>200000</v>
      </c>
      <c r="R12" t="n">
        <v>1000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>200</v>
      </c>
      <c r="Y12" t="n">
        <v/>
      </c>
      <c r="Z12" t="n">
        <v/>
      </c>
      <c r="AA12" t="inlineStr">
        <is>
          <t>CAC = Spend/NewCustomers</t>
        </is>
      </c>
      <c r="AB12">
        <f>IF([@MRR]="", "", [@MRR]*12)</f>
        <v/>
      </c>
      <c r="AC12">
        <f>IF(OR([@Revenue]="",[@Revenue]&lt;=0), "", ([@Revenue]-[@COGS]) / [@Revenue])</f>
        <v/>
      </c>
      <c r="AD12">
        <f>IF(OR([@Revenue]="",[@OpEx]="",[@COGS]=""), "", MAX(0, [@OpEx]+[@COGS]-[@Revenue]))</f>
        <v/>
      </c>
      <c r="AE12">
        <f>IF(OR([@Cash]="",[@Burn]=""), "", IF([@Burn]&lt;=0, "Cashflow+", [@Cash]/[@Burn]))</f>
        <v/>
      </c>
      <c r="AF12">
        <f>IF(OR([@Prev]="",[@Curr]=""), "", IF([@Prev]&lt;1000, "N/A", ([@Curr]-[@Prev]) / [@Prev]))</f>
        <v/>
      </c>
      <c r="AG12">
        <f>IF([@StartMRR]="", "", IF([@StartMRR]&lt;1000, "N/A", ([@StartMRR]+[@Expansion]-[@Contraction]-[@Churn]) / [@StartMRR]))</f>
        <v/>
      </c>
      <c r="AH12">
        <f>IF(OR([@Spend]="",[@NewCustomers]=""), "", IF([@NewCustomers]&lt;=0, "N/A", [@Spend]/[@NewCustomers]))</f>
        <v/>
      </c>
      <c r="AI12">
        <f>IF(OR([@ARPA]="",[@GM]="",[@ChurnRate]=""), "", IF([@ChurnRate]&lt;=0, "N/A", [@ARPA]*[@GM]/[@ChurnRate]))</f>
        <v/>
      </c>
      <c r="AJ12">
        <f>IF(OR([@ARPA]="",[@GM]=""), "", IF(([@ARPA]*[@GM])&lt;=0, "N/A", 200/([@ARPA]*[@GM])))</f>
        <v/>
      </c>
    </row>
    <row r="13">
      <c r="A13" t="inlineStr">
        <is>
          <t>TC12_CAC_NEW_CUSTOMERS_ZERO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>200000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inlineStr">
        <is>
          <t>NewCustomers&lt;=0 =&gt; CAC N/A</t>
        </is>
      </c>
      <c r="AB13">
        <f>IF([@MRR]="", "", [@MRR]*12)</f>
        <v/>
      </c>
      <c r="AC13">
        <f>IF(OR([@Revenue]="",[@Revenue]&lt;=0), "", ([@Revenue]-[@COGS]) / [@Revenue])</f>
        <v/>
      </c>
      <c r="AD13">
        <f>IF(OR([@Revenue]="",[@OpEx]="",[@COGS]=""), "", MAX(0, [@OpEx]+[@COGS]-[@Revenue]))</f>
        <v/>
      </c>
      <c r="AE13">
        <f>IF(OR([@Cash]="",[@Burn]=""), "", IF([@Burn]&lt;=0, "Cashflow+", [@Cash]/[@Burn]))</f>
        <v/>
      </c>
      <c r="AF13">
        <f>IF(OR([@Prev]="",[@Curr]=""), "", IF([@Prev]&lt;1000, "N/A", ([@Curr]-[@Prev]) / [@Prev]))</f>
        <v/>
      </c>
      <c r="AG13">
        <f>IF([@StartMRR]="", "", IF([@StartMRR]&lt;1000, "N/A", ([@StartMRR]+[@Expansion]-[@Contraction]-[@Churn]) / [@StartMRR]))</f>
        <v/>
      </c>
      <c r="AH13">
        <f>IF(OR([@Spend]="",[@NewCustomers]=""), "", IF([@NewCustomers]&lt;=0, "N/A", [@Spend]/[@NewCustomers]))</f>
        <v/>
      </c>
      <c r="AI13">
        <f>IF(OR([@ARPA]="",[@GM]="",[@ChurnRate]=""), "", IF([@ChurnRate]&lt;=0, "N/A", [@ARPA]*[@GM]/[@ChurnRate]))</f>
        <v/>
      </c>
      <c r="AJ13">
        <f>IF(OR([@ARPA]="",[@GM]=""), "", IF(([@ARPA]*[@GM])&lt;=0, "N/A", 200/([@ARPA]*[@GM])))</f>
        <v/>
      </c>
    </row>
    <row r="14">
      <c r="A14" t="inlineStr">
        <is>
          <t>TC13_LTV_BASIC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>50</v>
      </c>
      <c r="O14" t="n">
        <v>0.7</v>
      </c>
      <c r="P14" t="n">
        <v>0.05</v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>700</v>
      </c>
      <c r="Z14" t="n">
        <v/>
      </c>
      <c r="AA14" t="inlineStr">
        <is>
          <t>LTV = ARPA*GM/ChurnRate</t>
        </is>
      </c>
      <c r="AB14">
        <f>IF([@MRR]="", "", [@MRR]*12)</f>
        <v/>
      </c>
      <c r="AC14">
        <f>IF(OR([@Revenue]="",[@Revenue]&lt;=0), "", ([@Revenue]-[@COGS]) / [@Revenue])</f>
        <v/>
      </c>
      <c r="AD14">
        <f>IF(OR([@Revenue]="",[@OpEx]="",[@COGS]=""), "", MAX(0, [@OpEx]+[@COGS]-[@Revenue]))</f>
        <v/>
      </c>
      <c r="AE14">
        <f>IF(OR([@Cash]="",[@Burn]=""), "", IF([@Burn]&lt;=0, "Cashflow+", [@Cash]/[@Burn]))</f>
        <v/>
      </c>
      <c r="AF14">
        <f>IF(OR([@Prev]="",[@Curr]=""), "", IF([@Prev]&lt;1000, "N/A", ([@Curr]-[@Prev]) / [@Prev]))</f>
        <v/>
      </c>
      <c r="AG14">
        <f>IF([@StartMRR]="", "", IF([@StartMRR]&lt;1000, "N/A", ([@StartMRR]+[@Expansion]-[@Contraction]-[@Churn]) / [@StartMRR]))</f>
        <v/>
      </c>
      <c r="AH14">
        <f>IF(OR([@Spend]="",[@NewCustomers]=""), "", IF([@NewCustomers]&lt;=0, "N/A", [@Spend]/[@NewCustomers]))</f>
        <v/>
      </c>
      <c r="AI14">
        <f>IF(OR([@ARPA]="",[@GM]="",[@ChurnRate]=""), "", IF([@ChurnRate]&lt;=0, "N/A", [@ARPA]*[@GM]/[@ChurnRate]))</f>
        <v/>
      </c>
      <c r="AJ14">
        <f>IF(OR([@ARPA]="",[@GM]=""), "", IF(([@ARPA]*[@GM])&lt;=0, "N/A", 200/([@ARPA]*[@GM])))</f>
        <v/>
      </c>
    </row>
    <row r="15">
      <c r="A15" t="inlineStr">
        <is>
          <t>TC14_PAYBACK_BASIC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>50</v>
      </c>
      <c r="O15" t="n">
        <v>0.7</v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>200</v>
      </c>
      <c r="Y15" t="n">
        <v/>
      </c>
      <c r="Z15" t="n">
        <v>5.714285714285714</v>
      </c>
      <c r="AA15" t="inlineStr">
        <is>
          <t>Payback = CAC/(ARPA*GM) (CAC assumed 200)</t>
        </is>
      </c>
      <c r="AB15">
        <f>IF([@MRR]="", "", [@MRR]*12)</f>
        <v/>
      </c>
      <c r="AC15">
        <f>IF(OR([@Revenue]="",[@Revenue]&lt;=0), "", ([@Revenue]-[@COGS]) / [@Revenue])</f>
        <v/>
      </c>
      <c r="AD15">
        <f>IF(OR([@Revenue]="",[@OpEx]="",[@COGS]=""), "", MAX(0, [@OpEx]+[@COGS]-[@Revenue]))</f>
        <v/>
      </c>
      <c r="AE15">
        <f>IF(OR([@Cash]="",[@Burn]=""), "", IF([@Burn]&lt;=0, "Cashflow+", [@Cash]/[@Burn]))</f>
        <v/>
      </c>
      <c r="AF15">
        <f>IF(OR([@Prev]="",[@Curr]=""), "", IF([@Prev]&lt;1000, "N/A", ([@Curr]-[@Prev]) / [@Prev]))</f>
        <v/>
      </c>
      <c r="AG15">
        <f>IF([@StartMRR]="", "", IF([@StartMRR]&lt;1000, "N/A", ([@StartMRR]+[@Expansion]-[@Contraction]-[@Churn]) / [@StartMRR]))</f>
        <v/>
      </c>
      <c r="AH15">
        <f>IF(OR([@Spend]="",[@NewCustomers]=""), "", IF([@NewCustomers]&lt;=0, "N/A", [@Spend]/[@NewCustomers]))</f>
        <v/>
      </c>
      <c r="AI15">
        <f>IF(OR([@ARPA]="",[@GM]="",[@ChurnRate]=""), "", IF([@ChurnRate]&lt;=0, "N/A", [@ARPA]*[@GM]/[@ChurnRate]))</f>
        <v/>
      </c>
      <c r="AJ15">
        <f>IF(OR([@ARPA]="",[@GM]=""), "", IF(([@ARPA]*[@GM])&lt;=0, "N/A", 200/([@ARPA]*[@GM])))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Calc_Test_Fixtures.xlsx — How to Use</t>
        </is>
      </c>
    </row>
    <row r="3">
      <c r="A3" t="inlineStr">
        <is>
          <t>Upload this file into your app's parsing/uploader (if supported) OR use it as a human verification sheet.</t>
        </is>
      </c>
    </row>
    <row r="4">
      <c r="A4" t="inlineStr">
        <is>
          <t>Compare app-computed KPIs vs Calc_* columns.</t>
        </is>
      </c>
    </row>
    <row r="5">
      <c r="A5" t="inlineStr">
        <is>
          <t>Expected_* columns contain expected results; Calc_* columns contain Excel formula outputs.</t>
        </is>
      </c>
    </row>
    <row r="6">
      <c r="A6" t="inlineStr">
        <is>
          <t>Guardrails: denominators &lt; $1,000 =&gt; N/A; Burn&lt;=0 =&gt; Cashflow+; Revenue&lt;=0 =&gt; GM 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2026-02-17T19:58:46Z</dcterms:created>
  <dcterms:modified xmlns:dcterms="http://purl.org/dc/terms/" xmlns:xsi="http://www.w3.org/2001/XMLSchema-instance" xsi:type="dcterms:W3CDTF">2026-02-17T19:58:46Z</dcterms:modified>
</cp:coreProperties>
</file>