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 Fixtures v2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lcTableV2" displayName="CalcTableV2" ref="A1:BC31" headerRowCount="1">
  <autoFilter ref="A1:BC31"/>
  <tableColumns count="55">
    <tableColumn id="1" name="TestCase"/>
    <tableColumn id="2" name="Cash"/>
    <tableColumn id="3" name="Burn"/>
    <tableColumn id="4" name="MRR"/>
    <tableColumn id="5" name="Revenue"/>
    <tableColumn id="6" name="COGS"/>
    <tableColumn id="7" name="OpEx"/>
    <tableColumn id="8" name="Prev"/>
    <tableColumn id="9" name="Curr"/>
    <tableColumn id="10" name="StartMRR"/>
    <tableColumn id="11" name="Expansion"/>
    <tableColumn id="12" name="Contraction"/>
    <tableColumn id="13" name="Churn"/>
    <tableColumn id="14" name="ARPA"/>
    <tableColumn id="15" name="GM"/>
    <tableColumn id="16" name="ChurnRate"/>
    <tableColumn id="17" name="Spend"/>
    <tableColumn id="18" name="NewCustomers"/>
    <tableColumn id="19" name="Notes"/>
    <tableColumn id="20" name="Expected_ARR"/>
    <tableColumn id="21" name="Expected_GM"/>
    <tableColumn id="22" name="Expected_Burn"/>
    <tableColumn id="23" name="Expected_Runway"/>
    <tableColumn id="24" name="Expected_MoMGrowth"/>
    <tableColumn id="25" name="Expected_NRR"/>
    <tableColumn id="26" name="Expected_CAC"/>
    <tableColumn id="27" name="Expected_LTV"/>
    <tableColumn id="28" name="Expected_Payback"/>
    <tableColumn id="29" name="App_ARR"/>
    <tableColumn id="30" name="App_GM"/>
    <tableColumn id="31" name="App_Burn"/>
    <tableColumn id="32" name="App_Runway"/>
    <tableColumn id="33" name="App_MoMGrowth"/>
    <tableColumn id="34" name="App_NRR"/>
    <tableColumn id="35" name="App_CAC"/>
    <tableColumn id="36" name="App_LTV"/>
    <tableColumn id="37" name="App_Payback"/>
    <tableColumn id="38" name="Calc_ARR"/>
    <tableColumn id="39" name="Calc_GM"/>
    <tableColumn id="40" name="Calc_Burn"/>
    <tableColumn id="41" name="Calc_Runway"/>
    <tableColumn id="42" name="Calc_MoMGrowth"/>
    <tableColumn id="43" name="Calc_NRR"/>
    <tableColumn id="44" name="Calc_CAC"/>
    <tableColumn id="45" name="Calc_LTV"/>
    <tableColumn id="46" name="Calc_Payback"/>
    <tableColumn id="47" name="PF_ARR"/>
    <tableColumn id="48" name="PF_GM"/>
    <tableColumn id="49" name="PF_Burn"/>
    <tableColumn id="50" name="PF_Runway"/>
    <tableColumn id="51" name="PF_MoM"/>
    <tableColumn id="52" name="PF_NRR"/>
    <tableColumn id="53" name="PF_CAC"/>
    <tableColumn id="54" name="PF_LTV"/>
    <tableColumn id="55" name="PF_Payback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</cols>
  <sheetData>
    <row r="1">
      <c r="A1" s="1" t="inlineStr">
        <is>
          <t>TestCase</t>
        </is>
      </c>
      <c r="B1" s="1" t="inlineStr">
        <is>
          <t>Cash</t>
        </is>
      </c>
      <c r="C1" s="1" t="inlineStr">
        <is>
          <t>Burn</t>
        </is>
      </c>
      <c r="D1" s="1" t="inlineStr">
        <is>
          <t>MRR</t>
        </is>
      </c>
      <c r="E1" s="1" t="inlineStr">
        <is>
          <t>Revenue</t>
        </is>
      </c>
      <c r="F1" s="1" t="inlineStr">
        <is>
          <t>COGS</t>
        </is>
      </c>
      <c r="G1" s="1" t="inlineStr">
        <is>
          <t>OpEx</t>
        </is>
      </c>
      <c r="H1" s="1" t="inlineStr">
        <is>
          <t>Prev</t>
        </is>
      </c>
      <c r="I1" s="1" t="inlineStr">
        <is>
          <t>Curr</t>
        </is>
      </c>
      <c r="J1" s="1" t="inlineStr">
        <is>
          <t>StartMRR</t>
        </is>
      </c>
      <c r="K1" s="1" t="inlineStr">
        <is>
          <t>Expansion</t>
        </is>
      </c>
      <c r="L1" s="1" t="inlineStr">
        <is>
          <t>Contraction</t>
        </is>
      </c>
      <c r="M1" s="1" t="inlineStr">
        <is>
          <t>Churn</t>
        </is>
      </c>
      <c r="N1" s="1" t="inlineStr">
        <is>
          <t>ARPA</t>
        </is>
      </c>
      <c r="O1" s="1" t="inlineStr">
        <is>
          <t>GM</t>
        </is>
      </c>
      <c r="P1" s="1" t="inlineStr">
        <is>
          <t>ChurnRate</t>
        </is>
      </c>
      <c r="Q1" s="1" t="inlineStr">
        <is>
          <t>Spend</t>
        </is>
      </c>
      <c r="R1" s="1" t="inlineStr">
        <is>
          <t>NewCustomers</t>
        </is>
      </c>
      <c r="S1" s="1" t="inlineStr">
        <is>
          <t>Notes</t>
        </is>
      </c>
      <c r="T1" s="1" t="inlineStr">
        <is>
          <t>Expected_ARR</t>
        </is>
      </c>
      <c r="U1" s="1" t="inlineStr">
        <is>
          <t>Expected_GM</t>
        </is>
      </c>
      <c r="V1" s="1" t="inlineStr">
        <is>
          <t>Expected_Burn</t>
        </is>
      </c>
      <c r="W1" s="1" t="inlineStr">
        <is>
          <t>Expected_Runway</t>
        </is>
      </c>
      <c r="X1" s="1" t="inlineStr">
        <is>
          <t>Expected_MoMGrowth</t>
        </is>
      </c>
      <c r="Y1" s="1" t="inlineStr">
        <is>
          <t>Expected_NRR</t>
        </is>
      </c>
      <c r="Z1" s="1" t="inlineStr">
        <is>
          <t>Expected_CAC</t>
        </is>
      </c>
      <c r="AA1" s="1" t="inlineStr">
        <is>
          <t>Expected_LTV</t>
        </is>
      </c>
      <c r="AB1" s="1" t="inlineStr">
        <is>
          <t>Expected_Payback</t>
        </is>
      </c>
      <c r="AC1" s="1" t="inlineStr">
        <is>
          <t>App_ARR</t>
        </is>
      </c>
      <c r="AD1" s="1" t="inlineStr">
        <is>
          <t>App_GM</t>
        </is>
      </c>
      <c r="AE1" s="1" t="inlineStr">
        <is>
          <t>App_Burn</t>
        </is>
      </c>
      <c r="AF1" s="1" t="inlineStr">
        <is>
          <t>App_Runway</t>
        </is>
      </c>
      <c r="AG1" s="1" t="inlineStr">
        <is>
          <t>App_MoMGrowth</t>
        </is>
      </c>
      <c r="AH1" s="1" t="inlineStr">
        <is>
          <t>App_NRR</t>
        </is>
      </c>
      <c r="AI1" s="1" t="inlineStr">
        <is>
          <t>App_CAC</t>
        </is>
      </c>
      <c r="AJ1" s="1" t="inlineStr">
        <is>
          <t>App_LTV</t>
        </is>
      </c>
      <c r="AK1" s="1" t="inlineStr">
        <is>
          <t>App_Payback</t>
        </is>
      </c>
      <c r="AL1" s="2" t="inlineStr">
        <is>
          <t>Calc_ARR</t>
        </is>
      </c>
      <c r="AM1" s="2" t="inlineStr">
        <is>
          <t>Calc_GM</t>
        </is>
      </c>
      <c r="AN1" s="2" t="inlineStr">
        <is>
          <t>Calc_Burn</t>
        </is>
      </c>
      <c r="AO1" s="2" t="inlineStr">
        <is>
          <t>Calc_Runway</t>
        </is>
      </c>
      <c r="AP1" s="2" t="inlineStr">
        <is>
          <t>Calc_MoMGrowth</t>
        </is>
      </c>
      <c r="AQ1" s="2" t="inlineStr">
        <is>
          <t>Calc_NRR</t>
        </is>
      </c>
      <c r="AR1" s="2" t="inlineStr">
        <is>
          <t>Calc_CAC</t>
        </is>
      </c>
      <c r="AS1" s="2" t="inlineStr">
        <is>
          <t>Calc_LTV</t>
        </is>
      </c>
      <c r="AT1" s="2" t="inlineStr">
        <is>
          <t>Calc_Payback</t>
        </is>
      </c>
      <c r="AU1" s="3" t="inlineStr">
        <is>
          <t>PF_ARR</t>
        </is>
      </c>
      <c r="AV1" s="3" t="inlineStr">
        <is>
          <t>PF_GM</t>
        </is>
      </c>
      <c r="AW1" s="3" t="inlineStr">
        <is>
          <t>PF_Burn</t>
        </is>
      </c>
      <c r="AX1" s="3" t="inlineStr">
        <is>
          <t>PF_Runway</t>
        </is>
      </c>
      <c r="AY1" s="3" t="inlineStr">
        <is>
          <t>PF_MoM</t>
        </is>
      </c>
      <c r="AZ1" s="3" t="inlineStr">
        <is>
          <t>PF_NRR</t>
        </is>
      </c>
      <c r="BA1" s="3" t="inlineStr">
        <is>
          <t>PF_CAC</t>
        </is>
      </c>
      <c r="BB1" s="3" t="inlineStr">
        <is>
          <t>PF_LTV</t>
        </is>
      </c>
      <c r="BC1" s="3" t="inlineStr">
        <is>
          <t>PF_Payback</t>
        </is>
      </c>
    </row>
    <row r="2">
      <c r="A2" t="inlineStr">
        <is>
          <t>TC01_RUNWAY_BASIC</t>
        </is>
      </c>
      <c r="B2" t="n">
        <v>4500000</v>
      </c>
      <c r="C2" t="n">
        <v>382000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Runway = Cash/Burn; expect ~11.78 (display 11.8)</t>
        </is>
      </c>
      <c r="T2" t="inlineStr"/>
      <c r="U2" t="inlineStr"/>
      <c r="V2" t="inlineStr"/>
      <c r="W2" t="n">
        <v>11.78010471204188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>
        <f>IF([@MRR]="", "", [@MRR]*12)</f>
        <v/>
      </c>
      <c r="AM2">
        <f>IF(OR([@Revenue]="",[@Revenue]&lt;=0), "", ([@Revenue]-[@COGS]) / [@Revenue])</f>
        <v/>
      </c>
      <c r="AN2">
        <f>IF(OR([@Revenue]="",[@OpEx]="",[@COGS]=""), "", MAX(0, [@OpEx]+[@COGS]-[@Revenue]))</f>
        <v/>
      </c>
      <c r="AO2">
        <f>IF([@Cash]="", "", IF(OR([@Burn]="",[@Burn]=0), IF([@Calc_Burn]="", "", IF([@Calc_Burn]&lt;=0, "Cashflow+", [@Cash]/[@Calc_Burn])), IF([@Burn]&lt;=0, "Cashflow+", [@Cash]/[@Burn])))</f>
        <v/>
      </c>
      <c r="AP2">
        <f>IF(OR([@Prev]="",[@Curr]=""), "", IF([@Prev]&lt;1000, "N/A", ([@Curr]-[@Prev]) / [@Prev]))</f>
        <v/>
      </c>
      <c r="AQ2">
        <f>IF([@StartMRR]="", "", IF([@StartMRR]&lt;1000, "N/A", ([@StartMRR]+[@Expansion]-[@Contraction]-[@Churn]) / [@StartMRR]))</f>
        <v/>
      </c>
      <c r="AR2">
        <f>IF(OR([@Spend]="",[@NewCustomers]=""), "", IF([@NewCustomers]&lt;=0, "N/A", [@Spend]/[@NewCustomers]))</f>
        <v/>
      </c>
      <c r="AS2">
        <f>IF(OR([@ARPA]="",[@GM]="",[@ChurnRate]=""), "", IF([@ChurnRate]&lt;=0, "N/A", [@ARPA]*[@GM]/[@ChurnRate]))</f>
        <v/>
      </c>
      <c r="AT2">
        <f>IF(OR([@ARPA]="",[@GM]=""), "", IF(([@ARPA]*[@GM])&lt;=0, "N/A", 200/([@ARPA]*[@GM])))</f>
        <v/>
      </c>
      <c r="AU2">
        <f>IF([@App_ARR]="","",IF(ABS([@App_ARR]-[@Calc_ARR])&lt;0.01,"PASS","FAIL"))</f>
        <v/>
      </c>
      <c r="AV2">
        <f>IF([@App_GM]="","",IF(ABS([@App_GM]-[@Calc_GM])&lt;0.0001,"PASS","FAIL"))</f>
        <v/>
      </c>
      <c r="AW2">
        <f>IF([@App_Burn]="","",IF(ABS([@App_Burn]-[@Calc_Burn])&lt;1,"PASS","FAIL"))</f>
        <v/>
      </c>
      <c r="AX2">
        <f>IF([@App_Runway]="","",IF(OR(AND([@App_Runway]="Cashflow+",[@Calc_Runway]="Cashflow+"),ABS([@App_Runway]-[@Calc_Runway])&lt;0.01),"PASS","FAIL"))</f>
        <v/>
      </c>
      <c r="AY2">
        <f>IF([@App_MoMGrowth]="","",IF(OR(AND([@App_MoMGrowth]="N/A",[@Calc_MoMGrowth]="N/A"),ABS([@App_MoMGrowth]-[@Calc_MoMGrowth])&lt;0.0001),"PASS","FAIL"))</f>
        <v/>
      </c>
      <c r="AZ2">
        <f>IF([@App_NRR]="","",IF(OR(AND([@App_NRR]="N/A",[@Calc_NRR]="N/A"),ABS([@App_NRR]-[@Calc_NRR])&lt;0.0001),"PASS","FAIL"))</f>
        <v/>
      </c>
      <c r="BA2">
        <f>IF([@App_CAC]="","",IF(OR(AND([@App_CAC]="N/A",[@Calc_CAC]="N/A"),ABS([@App_CAC]-[@Calc_CAC])&lt;0.01),"PASS","FAIL"))</f>
        <v/>
      </c>
      <c r="BB2">
        <f>IF([@App_LTV]="","",IF(OR(AND([@App_LTV]="N/A",[@Calc_LTV]="N/A"),ABS([@App_LTV]-[@Calc_LTV])&lt;0.01),"PASS","FAIL"))</f>
        <v/>
      </c>
      <c r="BC2">
        <f>IF([@App_Payback]="","",IF(OR(AND([@App_Payback]="N/A",[@Calc_Payback]="N/A"),ABS([@App_Payback]-[@Calc_Payback])&lt;0.01),"PASS","FAIL"))</f>
        <v/>
      </c>
    </row>
    <row r="3">
      <c r="A3" t="inlineStr">
        <is>
          <t>TC02_RUNWAY_BURN_ZERO</t>
        </is>
      </c>
      <c r="B3" t="n">
        <v>2000000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Burn&lt;=0 =&gt; Cashflow+ (guard)</t>
        </is>
      </c>
      <c r="T3" t="inlineStr"/>
      <c r="U3" t="inlineStr"/>
      <c r="V3" t="inlineStr"/>
      <c r="W3" t="inlineStr">
        <is>
          <t>Cashflow+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>
        <f>IF([@MRR]="", "", [@MRR]*12)</f>
        <v/>
      </c>
      <c r="AM3">
        <f>IF(OR([@Revenue]="",[@Revenue]&lt;=0), "", ([@Revenue]-[@COGS]) / [@Revenue])</f>
        <v/>
      </c>
      <c r="AN3">
        <f>IF(OR([@Revenue]="",[@OpEx]="",[@COGS]=""), "", MAX(0, [@OpEx]+[@COGS]-[@Revenue]))</f>
        <v/>
      </c>
      <c r="AO3">
        <f>IF([@Cash]="", "", IF(OR([@Burn]="",[@Burn]=0), IF([@Calc_Burn]="", "", IF([@Calc_Burn]&lt;=0, "Cashflow+", [@Cash]/[@Calc_Burn])), IF([@Burn]&lt;=0, "Cashflow+", [@Cash]/[@Burn])))</f>
        <v/>
      </c>
      <c r="AP3">
        <f>IF(OR([@Prev]="",[@Curr]=""), "", IF([@Prev]&lt;1000, "N/A", ([@Curr]-[@Prev]) / [@Prev]))</f>
        <v/>
      </c>
      <c r="AQ3">
        <f>IF([@StartMRR]="", "", IF([@StartMRR]&lt;1000, "N/A", ([@StartMRR]+[@Expansion]-[@Contraction]-[@Churn]) / [@StartMRR]))</f>
        <v/>
      </c>
      <c r="AR3">
        <f>IF(OR([@Spend]="",[@NewCustomers]=""), "", IF([@NewCustomers]&lt;=0, "N/A", [@Spend]/[@NewCustomers]))</f>
        <v/>
      </c>
      <c r="AS3">
        <f>IF(OR([@ARPA]="",[@GM]="",[@ChurnRate]=""), "", IF([@ChurnRate]&lt;=0, "N/A", [@ARPA]*[@GM]/[@ChurnRate]))</f>
        <v/>
      </c>
      <c r="AT3">
        <f>IF(OR([@ARPA]="",[@GM]=""), "", IF(([@ARPA]*[@GM])&lt;=0, "N/A", 200/([@ARPA]*[@GM])))</f>
        <v/>
      </c>
      <c r="AU3">
        <f>IF([@App_ARR]="","",IF(ABS([@App_ARR]-[@Calc_ARR])&lt;0.01,"PASS","FAIL"))</f>
        <v/>
      </c>
      <c r="AV3">
        <f>IF([@App_GM]="","",IF(ABS([@App_GM]-[@Calc_GM])&lt;0.0001,"PASS","FAIL"))</f>
        <v/>
      </c>
      <c r="AW3">
        <f>IF([@App_Burn]="","",IF(ABS([@App_Burn]-[@Calc_Burn])&lt;1,"PASS","FAIL"))</f>
        <v/>
      </c>
      <c r="AX3">
        <f>IF([@App_Runway]="","",IF(OR(AND([@App_Runway]="Cashflow+",[@Calc_Runway]="Cashflow+"),ABS([@App_Runway]-[@Calc_Runway])&lt;0.01),"PASS","FAIL"))</f>
        <v/>
      </c>
      <c r="AY3">
        <f>IF([@App_MoMGrowth]="","",IF(OR(AND([@App_MoMGrowth]="N/A",[@Calc_MoMGrowth]="N/A"),ABS([@App_MoMGrowth]-[@Calc_MoMGrowth])&lt;0.0001),"PASS","FAIL"))</f>
        <v/>
      </c>
      <c r="AZ3">
        <f>IF([@App_NRR]="","",IF(OR(AND([@App_NRR]="N/A",[@Calc_NRR]="N/A"),ABS([@App_NRR]-[@Calc_NRR])&lt;0.0001),"PASS","FAIL"))</f>
        <v/>
      </c>
      <c r="BA3">
        <f>IF([@App_CAC]="","",IF(OR(AND([@App_CAC]="N/A",[@Calc_CAC]="N/A"),ABS([@App_CAC]-[@Calc_CAC])&lt;0.01),"PASS","FAIL"))</f>
        <v/>
      </c>
      <c r="BB3">
        <f>IF([@App_LTV]="","",IF(OR(AND([@App_LTV]="N/A",[@Calc_LTV]="N/A"),ABS([@App_LTV]-[@Calc_LTV])&lt;0.01),"PASS","FAIL"))</f>
        <v/>
      </c>
      <c r="BC3">
        <f>IF([@App_Payback]="","",IF(OR(AND([@App_Payback]="N/A",[@Calc_Payback]="N/A"),ABS([@App_Payback]-[@Calc_Payback])&lt;0.01),"PASS","FAIL"))</f>
        <v/>
      </c>
    </row>
    <row r="4">
      <c r="A4" t="inlineStr">
        <is>
          <t>TC03_RUNWAY_NEGATIVE_BURN</t>
        </is>
      </c>
      <c r="B4" t="n">
        <v>2000000</v>
      </c>
      <c r="C4" t="n">
        <v>-10000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Negative burn =&gt; Cashflow+ (guard)</t>
        </is>
      </c>
      <c r="T4" t="inlineStr"/>
      <c r="U4" t="inlineStr"/>
      <c r="V4" t="inlineStr"/>
      <c r="W4" t="inlineStr">
        <is>
          <t>Cashflow+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>
        <f>IF([@MRR]="", "", [@MRR]*12)</f>
        <v/>
      </c>
      <c r="AM4">
        <f>IF(OR([@Revenue]="",[@Revenue]&lt;=0), "", ([@Revenue]-[@COGS]) / [@Revenue])</f>
        <v/>
      </c>
      <c r="AN4">
        <f>IF(OR([@Revenue]="",[@OpEx]="",[@COGS]=""), "", MAX(0, [@OpEx]+[@COGS]-[@Revenue]))</f>
        <v/>
      </c>
      <c r="AO4">
        <f>IF([@Cash]="", "", IF(OR([@Burn]="",[@Burn]=0), IF([@Calc_Burn]="", "", IF([@Calc_Burn]&lt;=0, "Cashflow+", [@Cash]/[@Calc_Burn])), IF([@Burn]&lt;=0, "Cashflow+", [@Cash]/[@Burn])))</f>
        <v/>
      </c>
      <c r="AP4">
        <f>IF(OR([@Prev]="",[@Curr]=""), "", IF([@Prev]&lt;1000, "N/A", ([@Curr]-[@Prev]) / [@Prev]))</f>
        <v/>
      </c>
      <c r="AQ4">
        <f>IF([@StartMRR]="", "", IF([@StartMRR]&lt;1000, "N/A", ([@StartMRR]+[@Expansion]-[@Contraction]-[@Churn]) / [@StartMRR]))</f>
        <v/>
      </c>
      <c r="AR4">
        <f>IF(OR([@Spend]="",[@NewCustomers]=""), "", IF([@NewCustomers]&lt;=0, "N/A", [@Spend]/[@NewCustomers]))</f>
        <v/>
      </c>
      <c r="AS4">
        <f>IF(OR([@ARPA]="",[@GM]="",[@ChurnRate]=""), "", IF([@ChurnRate]&lt;=0, "N/A", [@ARPA]*[@GM]/[@ChurnRate]))</f>
        <v/>
      </c>
      <c r="AT4">
        <f>IF(OR([@ARPA]="",[@GM]=""), "", IF(([@ARPA]*[@GM])&lt;=0, "N/A", 200/([@ARPA]*[@GM])))</f>
        <v/>
      </c>
      <c r="AU4">
        <f>IF([@App_ARR]="","",IF(ABS([@App_ARR]-[@Calc_ARR])&lt;0.01,"PASS","FAIL"))</f>
        <v/>
      </c>
      <c r="AV4">
        <f>IF([@App_GM]="","",IF(ABS([@App_GM]-[@Calc_GM])&lt;0.0001,"PASS","FAIL"))</f>
        <v/>
      </c>
      <c r="AW4">
        <f>IF([@App_Burn]="","",IF(ABS([@App_Burn]-[@Calc_Burn])&lt;1,"PASS","FAIL"))</f>
        <v/>
      </c>
      <c r="AX4">
        <f>IF([@App_Runway]="","",IF(OR(AND([@App_Runway]="Cashflow+",[@Calc_Runway]="Cashflow+"),ABS([@App_Runway]-[@Calc_Runway])&lt;0.01),"PASS","FAIL"))</f>
        <v/>
      </c>
      <c r="AY4">
        <f>IF([@App_MoMGrowth]="","",IF(OR(AND([@App_MoMGrowth]="N/A",[@Calc_MoMGrowth]="N/A"),ABS([@App_MoMGrowth]-[@Calc_MoMGrowth])&lt;0.0001),"PASS","FAIL"))</f>
        <v/>
      </c>
      <c r="AZ4">
        <f>IF([@App_NRR]="","",IF(OR(AND([@App_NRR]="N/A",[@Calc_NRR]="N/A"),ABS([@App_NRR]-[@Calc_NRR])&lt;0.0001),"PASS","FAIL"))</f>
        <v/>
      </c>
      <c r="BA4">
        <f>IF([@App_CAC]="","",IF(OR(AND([@App_CAC]="N/A",[@Calc_CAC]="N/A"),ABS([@App_CAC]-[@Calc_CAC])&lt;0.01),"PASS","FAIL"))</f>
        <v/>
      </c>
      <c r="BB4">
        <f>IF([@App_LTV]="","",IF(OR(AND([@App_LTV]="N/A",[@Calc_LTV]="N/A"),ABS([@App_LTV]-[@Calc_LTV])&lt;0.01),"PASS","FAIL"))</f>
        <v/>
      </c>
      <c r="BC4">
        <f>IF([@App_Payback]="","",IF(OR(AND([@App_Payback]="N/A",[@Calc_Payback]="N/A"),ABS([@App_Payback]-[@Calc_Payback])&lt;0.01),"PASS","FAIL"))</f>
        <v/>
      </c>
    </row>
    <row r="5">
      <c r="A5" t="inlineStr">
        <is>
          <t>TC04_RUNWAY_LOW_CASH</t>
        </is>
      </c>
      <c r="B5" t="n">
        <v>250000</v>
      </c>
      <c r="C5" t="n">
        <v>100000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Low runway = 2.5 months</t>
        </is>
      </c>
      <c r="T5" t="inlineStr"/>
      <c r="U5" t="inlineStr"/>
      <c r="V5" t="inlineStr"/>
      <c r="W5" t="n">
        <v>2.5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>
        <f>IF([@MRR]="", "", [@MRR]*12)</f>
        <v/>
      </c>
      <c r="AM5">
        <f>IF(OR([@Revenue]="",[@Revenue]&lt;=0), "", ([@Revenue]-[@COGS]) / [@Revenue])</f>
        <v/>
      </c>
      <c r="AN5">
        <f>IF(OR([@Revenue]="",[@OpEx]="",[@COGS]=""), "", MAX(0, [@OpEx]+[@COGS]-[@Revenue]))</f>
        <v/>
      </c>
      <c r="AO5">
        <f>IF([@Cash]="", "", IF(OR([@Burn]="",[@Burn]=0), IF([@Calc_Burn]="", "", IF([@Calc_Burn]&lt;=0, "Cashflow+", [@Cash]/[@Calc_Burn])), IF([@Burn]&lt;=0, "Cashflow+", [@Cash]/[@Burn])))</f>
        <v/>
      </c>
      <c r="AP5">
        <f>IF(OR([@Prev]="",[@Curr]=""), "", IF([@Prev]&lt;1000, "N/A", ([@Curr]-[@Prev]) / [@Prev]))</f>
        <v/>
      </c>
      <c r="AQ5">
        <f>IF([@StartMRR]="", "", IF([@StartMRR]&lt;1000, "N/A", ([@StartMRR]+[@Expansion]-[@Contraction]-[@Churn]) / [@StartMRR]))</f>
        <v/>
      </c>
      <c r="AR5">
        <f>IF(OR([@Spend]="",[@NewCustomers]=""), "", IF([@NewCustomers]&lt;=0, "N/A", [@Spend]/[@NewCustomers]))</f>
        <v/>
      </c>
      <c r="AS5">
        <f>IF(OR([@ARPA]="",[@GM]="",[@ChurnRate]=""), "", IF([@ChurnRate]&lt;=0, "N/A", [@ARPA]*[@GM]/[@ChurnRate]))</f>
        <v/>
      </c>
      <c r="AT5">
        <f>IF(OR([@ARPA]="",[@GM]=""), "", IF(([@ARPA]*[@GM])&lt;=0, "N/A", 200/([@ARPA]*[@GM])))</f>
        <v/>
      </c>
      <c r="AU5">
        <f>IF([@App_ARR]="","",IF(ABS([@App_ARR]-[@Calc_ARR])&lt;0.01,"PASS","FAIL"))</f>
        <v/>
      </c>
      <c r="AV5">
        <f>IF([@App_GM]="","",IF(ABS([@App_GM]-[@Calc_GM])&lt;0.0001,"PASS","FAIL"))</f>
        <v/>
      </c>
      <c r="AW5">
        <f>IF([@App_Burn]="","",IF(ABS([@App_Burn]-[@Calc_Burn])&lt;1,"PASS","FAIL"))</f>
        <v/>
      </c>
      <c r="AX5">
        <f>IF([@App_Runway]="","",IF(OR(AND([@App_Runway]="Cashflow+",[@Calc_Runway]="Cashflow+"),ABS([@App_Runway]-[@Calc_Runway])&lt;0.01),"PASS","FAIL"))</f>
        <v/>
      </c>
      <c r="AY5">
        <f>IF([@App_MoMGrowth]="","",IF(OR(AND([@App_MoMGrowth]="N/A",[@Calc_MoMGrowth]="N/A"),ABS([@App_MoMGrowth]-[@Calc_MoMGrowth])&lt;0.0001),"PASS","FAIL"))</f>
        <v/>
      </c>
      <c r="AZ5">
        <f>IF([@App_NRR]="","",IF(OR(AND([@App_NRR]="N/A",[@Calc_NRR]="N/A"),ABS([@App_NRR]-[@Calc_NRR])&lt;0.0001),"PASS","FAIL"))</f>
        <v/>
      </c>
      <c r="BA5">
        <f>IF([@App_CAC]="","",IF(OR(AND([@App_CAC]="N/A",[@Calc_CAC]="N/A"),ABS([@App_CAC]-[@Calc_CAC])&lt;0.01),"PASS","FAIL"))</f>
        <v/>
      </c>
      <c r="BB5">
        <f>IF([@App_LTV]="","",IF(OR(AND([@App_LTV]="N/A",[@Calc_LTV]="N/A"),ABS([@App_LTV]-[@Calc_LTV])&lt;0.01),"PASS","FAIL"))</f>
        <v/>
      </c>
      <c r="BC5">
        <f>IF([@App_Payback]="","",IF(OR(AND([@App_Payback]="N/A",[@Calc_Payback]="N/A"),ABS([@App_Payback]-[@Calc_Payback])&lt;0.01),"PASS","FAIL"))</f>
        <v/>
      </c>
    </row>
    <row r="6">
      <c r="A6" t="inlineStr">
        <is>
          <t>TC05_RUNWAY_ROUNDING</t>
        </is>
      </c>
      <c r="B6" t="n">
        <v>1000000</v>
      </c>
      <c r="C6" t="n">
        <v>84925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Runway rounding test</t>
        </is>
      </c>
      <c r="T6" t="inlineStr"/>
      <c r="U6" t="inlineStr"/>
      <c r="V6" t="inlineStr"/>
      <c r="W6" t="n">
        <v>11.77509567265234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>
        <f>IF([@MRR]="", "", [@MRR]*12)</f>
        <v/>
      </c>
      <c r="AM6">
        <f>IF(OR([@Revenue]="",[@Revenue]&lt;=0), "", ([@Revenue]-[@COGS]) / [@Revenue])</f>
        <v/>
      </c>
      <c r="AN6">
        <f>IF(OR([@Revenue]="",[@OpEx]="",[@COGS]=""), "", MAX(0, [@OpEx]+[@COGS]-[@Revenue]))</f>
        <v/>
      </c>
      <c r="AO6">
        <f>IF([@Cash]="", "", IF(OR([@Burn]="",[@Burn]=0), IF([@Calc_Burn]="", "", IF([@Calc_Burn]&lt;=0, "Cashflow+", [@Cash]/[@Calc_Burn])), IF([@Burn]&lt;=0, "Cashflow+", [@Cash]/[@Burn])))</f>
        <v/>
      </c>
      <c r="AP6">
        <f>IF(OR([@Prev]="",[@Curr]=""), "", IF([@Prev]&lt;1000, "N/A", ([@Curr]-[@Prev]) / [@Prev]))</f>
        <v/>
      </c>
      <c r="AQ6">
        <f>IF([@StartMRR]="", "", IF([@StartMRR]&lt;1000, "N/A", ([@StartMRR]+[@Expansion]-[@Contraction]-[@Churn]) / [@StartMRR]))</f>
        <v/>
      </c>
      <c r="AR6">
        <f>IF(OR([@Spend]="",[@NewCustomers]=""), "", IF([@NewCustomers]&lt;=0, "N/A", [@Spend]/[@NewCustomers]))</f>
        <v/>
      </c>
      <c r="AS6">
        <f>IF(OR([@ARPA]="",[@GM]="",[@ChurnRate]=""), "", IF([@ChurnRate]&lt;=0, "N/A", [@ARPA]*[@GM]/[@ChurnRate]))</f>
        <v/>
      </c>
      <c r="AT6">
        <f>IF(OR([@ARPA]="",[@GM]=""), "", IF(([@ARPA]*[@GM])&lt;=0, "N/A", 200/([@ARPA]*[@GM])))</f>
        <v/>
      </c>
      <c r="AU6">
        <f>IF([@App_ARR]="","",IF(ABS([@App_ARR]-[@Calc_ARR])&lt;0.01,"PASS","FAIL"))</f>
        <v/>
      </c>
      <c r="AV6">
        <f>IF([@App_GM]="","",IF(ABS([@App_GM]-[@Calc_GM])&lt;0.0001,"PASS","FAIL"))</f>
        <v/>
      </c>
      <c r="AW6">
        <f>IF([@App_Burn]="","",IF(ABS([@App_Burn]-[@Calc_Burn])&lt;1,"PASS","FAIL"))</f>
        <v/>
      </c>
      <c r="AX6">
        <f>IF([@App_Runway]="","",IF(OR(AND([@App_Runway]="Cashflow+",[@Calc_Runway]="Cashflow+"),ABS([@App_Runway]-[@Calc_Runway])&lt;0.01),"PASS","FAIL"))</f>
        <v/>
      </c>
      <c r="AY6">
        <f>IF([@App_MoMGrowth]="","",IF(OR(AND([@App_MoMGrowth]="N/A",[@Calc_MoMGrowth]="N/A"),ABS([@App_MoMGrowth]-[@Calc_MoMGrowth])&lt;0.0001),"PASS","FAIL"))</f>
        <v/>
      </c>
      <c r="AZ6">
        <f>IF([@App_NRR]="","",IF(OR(AND([@App_NRR]="N/A",[@Calc_NRR]="N/A"),ABS([@App_NRR]-[@Calc_NRR])&lt;0.0001),"PASS","FAIL"))</f>
        <v/>
      </c>
      <c r="BA6">
        <f>IF([@App_CAC]="","",IF(OR(AND([@App_CAC]="N/A",[@Calc_CAC]="N/A"),ABS([@App_CAC]-[@Calc_CAC])&lt;0.01),"PASS","FAIL"))</f>
        <v/>
      </c>
      <c r="BB6">
        <f>IF([@App_LTV]="","",IF(OR(AND([@App_LTV]="N/A",[@Calc_LTV]="N/A"),ABS([@App_LTV]-[@Calc_LTV])&lt;0.01),"PASS","FAIL"))</f>
        <v/>
      </c>
      <c r="BC6">
        <f>IF([@App_Payback]="","",IF(OR(AND([@App_Payback]="N/A",[@Calc_Payback]="N/A"),ABS([@App_Payback]-[@Calc_Payback])&lt;0.01),"PASS","FAIL"))</f>
        <v/>
      </c>
    </row>
    <row r="7">
      <c r="A7" t="inlineStr">
        <is>
          <t>TC06_ARR_BASIC</t>
        </is>
      </c>
      <c r="B7" t="inlineStr"/>
      <c r="C7" t="inlineStr"/>
      <c r="D7" t="n">
        <v>520000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ARR = MRR*12</t>
        </is>
      </c>
      <c r="T7" t="n">
        <v>6240000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>
        <f>IF([@MRR]="", "", [@MRR]*12)</f>
        <v/>
      </c>
      <c r="AM7">
        <f>IF(OR([@Revenue]="",[@Revenue]&lt;=0), "", ([@Revenue]-[@COGS]) / [@Revenue])</f>
        <v/>
      </c>
      <c r="AN7">
        <f>IF(OR([@Revenue]="",[@OpEx]="",[@COGS]=""), "", MAX(0, [@OpEx]+[@COGS]-[@Revenue]))</f>
        <v/>
      </c>
      <c r="AO7">
        <f>IF([@Cash]="", "", IF(OR([@Burn]="",[@Burn]=0), IF([@Calc_Burn]="", "", IF([@Calc_Burn]&lt;=0, "Cashflow+", [@Cash]/[@Calc_Burn])), IF([@Burn]&lt;=0, "Cashflow+", [@Cash]/[@Burn])))</f>
        <v/>
      </c>
      <c r="AP7">
        <f>IF(OR([@Prev]="",[@Curr]=""), "", IF([@Prev]&lt;1000, "N/A", ([@Curr]-[@Prev]) / [@Prev]))</f>
        <v/>
      </c>
      <c r="AQ7">
        <f>IF([@StartMRR]="", "", IF([@StartMRR]&lt;1000, "N/A", ([@StartMRR]+[@Expansion]-[@Contraction]-[@Churn]) / [@StartMRR]))</f>
        <v/>
      </c>
      <c r="AR7">
        <f>IF(OR([@Spend]="",[@NewCustomers]=""), "", IF([@NewCustomers]&lt;=0, "N/A", [@Spend]/[@NewCustomers]))</f>
        <v/>
      </c>
      <c r="AS7">
        <f>IF(OR([@ARPA]="",[@GM]="",[@ChurnRate]=""), "", IF([@ChurnRate]&lt;=0, "N/A", [@ARPA]*[@GM]/[@ChurnRate]))</f>
        <v/>
      </c>
      <c r="AT7">
        <f>IF(OR([@ARPA]="",[@GM]=""), "", IF(([@ARPA]*[@GM])&lt;=0, "N/A", 200/([@ARPA]*[@GM])))</f>
        <v/>
      </c>
      <c r="AU7">
        <f>IF([@App_ARR]="","",IF(ABS([@App_ARR]-[@Calc_ARR])&lt;0.01,"PASS","FAIL"))</f>
        <v/>
      </c>
      <c r="AV7">
        <f>IF([@App_GM]="","",IF(ABS([@App_GM]-[@Calc_GM])&lt;0.0001,"PASS","FAIL"))</f>
        <v/>
      </c>
      <c r="AW7">
        <f>IF([@App_Burn]="","",IF(ABS([@App_Burn]-[@Calc_Burn])&lt;1,"PASS","FAIL"))</f>
        <v/>
      </c>
      <c r="AX7">
        <f>IF([@App_Runway]="","",IF(OR(AND([@App_Runway]="Cashflow+",[@Calc_Runway]="Cashflow+"),ABS([@App_Runway]-[@Calc_Runway])&lt;0.01),"PASS","FAIL"))</f>
        <v/>
      </c>
      <c r="AY7">
        <f>IF([@App_MoMGrowth]="","",IF(OR(AND([@App_MoMGrowth]="N/A",[@Calc_MoMGrowth]="N/A"),ABS([@App_MoMGrowth]-[@Calc_MoMGrowth])&lt;0.0001),"PASS","FAIL"))</f>
        <v/>
      </c>
      <c r="AZ7">
        <f>IF([@App_NRR]="","",IF(OR(AND([@App_NRR]="N/A",[@Calc_NRR]="N/A"),ABS([@App_NRR]-[@Calc_NRR])&lt;0.0001),"PASS","FAIL"))</f>
        <v/>
      </c>
      <c r="BA7">
        <f>IF([@App_CAC]="","",IF(OR(AND([@App_CAC]="N/A",[@Calc_CAC]="N/A"),ABS([@App_CAC]-[@Calc_CAC])&lt;0.01),"PASS","FAIL"))</f>
        <v/>
      </c>
      <c r="BB7">
        <f>IF([@App_LTV]="","",IF(OR(AND([@App_LTV]="N/A",[@Calc_LTV]="N/A"),ABS([@App_LTV]-[@Calc_LTV])&lt;0.01),"PASS","FAIL"))</f>
        <v/>
      </c>
      <c r="BC7">
        <f>IF([@App_Payback]="","",IF(OR(AND([@App_Payback]="N/A",[@Calc_Payback]="N/A"),ABS([@App_Payback]-[@Calc_Payback])&lt;0.01),"PASS","FAIL"))</f>
        <v/>
      </c>
    </row>
    <row r="8">
      <c r="A8" t="inlineStr">
        <is>
          <t>TC07_ARR_ZERO</t>
        </is>
      </c>
      <c r="B8" t="inlineStr"/>
      <c r="C8" t="inlineStr"/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MRR=0 =&gt; ARR=0</t>
        </is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>
        <f>IF([@MRR]="", "", [@MRR]*12)</f>
        <v/>
      </c>
      <c r="AM8">
        <f>IF(OR([@Revenue]="",[@Revenue]&lt;=0), "", ([@Revenue]-[@COGS]) / [@Revenue])</f>
        <v/>
      </c>
      <c r="AN8">
        <f>IF(OR([@Revenue]="",[@OpEx]="",[@COGS]=""), "", MAX(0, [@OpEx]+[@COGS]-[@Revenue]))</f>
        <v/>
      </c>
      <c r="AO8">
        <f>IF([@Cash]="", "", IF(OR([@Burn]="",[@Burn]=0), IF([@Calc_Burn]="", "", IF([@Calc_Burn]&lt;=0, "Cashflow+", [@Cash]/[@Calc_Burn])), IF([@Burn]&lt;=0, "Cashflow+", [@Cash]/[@Burn])))</f>
        <v/>
      </c>
      <c r="AP8">
        <f>IF(OR([@Prev]="",[@Curr]=""), "", IF([@Prev]&lt;1000, "N/A", ([@Curr]-[@Prev]) / [@Prev]))</f>
        <v/>
      </c>
      <c r="AQ8">
        <f>IF([@StartMRR]="", "", IF([@StartMRR]&lt;1000, "N/A", ([@StartMRR]+[@Expansion]-[@Contraction]-[@Churn]) / [@StartMRR]))</f>
        <v/>
      </c>
      <c r="AR8">
        <f>IF(OR([@Spend]="",[@NewCustomers]=""), "", IF([@NewCustomers]&lt;=0, "N/A", [@Spend]/[@NewCustomers]))</f>
        <v/>
      </c>
      <c r="AS8">
        <f>IF(OR([@ARPA]="",[@GM]="",[@ChurnRate]=""), "", IF([@ChurnRate]&lt;=0, "N/A", [@ARPA]*[@GM]/[@ChurnRate]))</f>
        <v/>
      </c>
      <c r="AT8">
        <f>IF(OR([@ARPA]="",[@GM]=""), "", IF(([@ARPA]*[@GM])&lt;=0, "N/A", 200/([@ARPA]*[@GM])))</f>
        <v/>
      </c>
      <c r="AU8">
        <f>IF([@App_ARR]="","",IF(ABS([@App_ARR]-[@Calc_ARR])&lt;0.01,"PASS","FAIL"))</f>
        <v/>
      </c>
      <c r="AV8">
        <f>IF([@App_GM]="","",IF(ABS([@App_GM]-[@Calc_GM])&lt;0.0001,"PASS","FAIL"))</f>
        <v/>
      </c>
      <c r="AW8">
        <f>IF([@App_Burn]="","",IF(ABS([@App_Burn]-[@Calc_Burn])&lt;1,"PASS","FAIL"))</f>
        <v/>
      </c>
      <c r="AX8">
        <f>IF([@App_Runway]="","",IF(OR(AND([@App_Runway]="Cashflow+",[@Calc_Runway]="Cashflow+"),ABS([@App_Runway]-[@Calc_Runway])&lt;0.01),"PASS","FAIL"))</f>
        <v/>
      </c>
      <c r="AY8">
        <f>IF([@App_MoMGrowth]="","",IF(OR(AND([@App_MoMGrowth]="N/A",[@Calc_MoMGrowth]="N/A"),ABS([@App_MoMGrowth]-[@Calc_MoMGrowth])&lt;0.0001),"PASS","FAIL"))</f>
        <v/>
      </c>
      <c r="AZ8">
        <f>IF([@App_NRR]="","",IF(OR(AND([@App_NRR]="N/A",[@Calc_NRR]="N/A"),ABS([@App_NRR]-[@Calc_NRR])&lt;0.0001),"PASS","FAIL"))</f>
        <v/>
      </c>
      <c r="BA8">
        <f>IF([@App_CAC]="","",IF(OR(AND([@App_CAC]="N/A",[@Calc_CAC]="N/A"),ABS([@App_CAC]-[@Calc_CAC])&lt;0.01),"PASS","FAIL"))</f>
        <v/>
      </c>
      <c r="BB8">
        <f>IF([@App_LTV]="","",IF(OR(AND([@App_LTV]="N/A",[@Calc_LTV]="N/A"),ABS([@App_LTV]-[@Calc_LTV])&lt;0.01),"PASS","FAIL"))</f>
        <v/>
      </c>
      <c r="BC8">
        <f>IF([@App_Payback]="","",IF(OR(AND([@App_Payback]="N/A",[@Calc_Payback]="N/A"),ABS([@App_Payback]-[@Calc_Payback])&lt;0.01),"PASS","FAIL"))</f>
        <v/>
      </c>
    </row>
    <row r="9">
      <c r="A9" t="inlineStr">
        <is>
          <t>TC08_ARR_MRR_MISSING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Missing MRR =&gt; ARR blank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>
        <f>IF([@MRR]="", "", [@MRR]*12)</f>
        <v/>
      </c>
      <c r="AM9">
        <f>IF(OR([@Revenue]="",[@Revenue]&lt;=0), "", ([@Revenue]-[@COGS]) / [@Revenue])</f>
        <v/>
      </c>
      <c r="AN9">
        <f>IF(OR([@Revenue]="",[@OpEx]="",[@COGS]=""), "", MAX(0, [@OpEx]+[@COGS]-[@Revenue]))</f>
        <v/>
      </c>
      <c r="AO9">
        <f>IF([@Cash]="", "", IF(OR([@Burn]="",[@Burn]=0), IF([@Calc_Burn]="", "", IF([@Calc_Burn]&lt;=0, "Cashflow+", [@Cash]/[@Calc_Burn])), IF([@Burn]&lt;=0, "Cashflow+", [@Cash]/[@Burn])))</f>
        <v/>
      </c>
      <c r="AP9">
        <f>IF(OR([@Prev]="",[@Curr]=""), "", IF([@Prev]&lt;1000, "N/A", ([@Curr]-[@Prev]) / [@Prev]))</f>
        <v/>
      </c>
      <c r="AQ9">
        <f>IF([@StartMRR]="", "", IF([@StartMRR]&lt;1000, "N/A", ([@StartMRR]+[@Expansion]-[@Contraction]-[@Churn]) / [@StartMRR]))</f>
        <v/>
      </c>
      <c r="AR9">
        <f>IF(OR([@Spend]="",[@NewCustomers]=""), "", IF([@NewCustomers]&lt;=0, "N/A", [@Spend]/[@NewCustomers]))</f>
        <v/>
      </c>
      <c r="AS9">
        <f>IF(OR([@ARPA]="",[@GM]="",[@ChurnRate]=""), "", IF([@ChurnRate]&lt;=0, "N/A", [@ARPA]*[@GM]/[@ChurnRate]))</f>
        <v/>
      </c>
      <c r="AT9">
        <f>IF(OR([@ARPA]="",[@GM]=""), "", IF(([@ARPA]*[@GM])&lt;=0, "N/A", 200/([@ARPA]*[@GM])))</f>
        <v/>
      </c>
      <c r="AU9">
        <f>IF([@App_ARR]="","",IF(ABS([@App_ARR]-[@Calc_ARR])&lt;0.01,"PASS","FAIL"))</f>
        <v/>
      </c>
      <c r="AV9">
        <f>IF([@App_GM]="","",IF(ABS([@App_GM]-[@Calc_GM])&lt;0.0001,"PASS","FAIL"))</f>
        <v/>
      </c>
      <c r="AW9">
        <f>IF([@App_Burn]="","",IF(ABS([@App_Burn]-[@Calc_Burn])&lt;1,"PASS","FAIL"))</f>
        <v/>
      </c>
      <c r="AX9">
        <f>IF([@App_Runway]="","",IF(OR(AND([@App_Runway]="Cashflow+",[@Calc_Runway]="Cashflow+"),ABS([@App_Runway]-[@Calc_Runway])&lt;0.01),"PASS","FAIL"))</f>
        <v/>
      </c>
      <c r="AY9">
        <f>IF([@App_MoMGrowth]="","",IF(OR(AND([@App_MoMGrowth]="N/A",[@Calc_MoMGrowth]="N/A"),ABS([@App_MoMGrowth]-[@Calc_MoMGrowth])&lt;0.0001),"PASS","FAIL"))</f>
        <v/>
      </c>
      <c r="AZ9">
        <f>IF([@App_NRR]="","",IF(OR(AND([@App_NRR]="N/A",[@Calc_NRR]="N/A"),ABS([@App_NRR]-[@Calc_NRR])&lt;0.0001),"PASS","FAIL"))</f>
        <v/>
      </c>
      <c r="BA9">
        <f>IF([@App_CAC]="","",IF(OR(AND([@App_CAC]="N/A",[@Calc_CAC]="N/A"),ABS([@App_CAC]-[@Calc_CAC])&lt;0.01),"PASS","FAIL"))</f>
        <v/>
      </c>
      <c r="BB9">
        <f>IF([@App_LTV]="","",IF(OR(AND([@App_LTV]="N/A",[@Calc_LTV]="N/A"),ABS([@App_LTV]-[@Calc_LTV])&lt;0.01),"PASS","FAIL"))</f>
        <v/>
      </c>
      <c r="BC9">
        <f>IF([@App_Payback]="","",IF(OR(AND([@App_Payback]="N/A",[@Calc_Payback]="N/A"),ABS([@App_Payback]-[@Calc_Payback])&lt;0.01),"PASS","FAIL"))</f>
        <v/>
      </c>
    </row>
    <row r="10">
      <c r="A10" t="inlineStr">
        <is>
          <t>TC09_GM_BASIC</t>
        </is>
      </c>
      <c r="B10" t="inlineStr"/>
      <c r="C10" t="inlineStr"/>
      <c r="D10" t="inlineStr"/>
      <c r="E10" t="n">
        <v>1000000</v>
      </c>
      <c r="F10" t="n">
        <v>200000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GM% = 0.8</t>
        </is>
      </c>
      <c r="T10" t="inlineStr"/>
      <c r="U10" t="n">
        <v>0.8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>
        <f>IF([@MRR]="", "", [@MRR]*12)</f>
        <v/>
      </c>
      <c r="AM10">
        <f>IF(OR([@Revenue]="",[@Revenue]&lt;=0), "", ([@Revenue]-[@COGS]) / [@Revenue])</f>
        <v/>
      </c>
      <c r="AN10">
        <f>IF(OR([@Revenue]="",[@OpEx]="",[@COGS]=""), "", MAX(0, [@OpEx]+[@COGS]-[@Revenue]))</f>
        <v/>
      </c>
      <c r="AO10">
        <f>IF([@Cash]="", "", IF(OR([@Burn]="",[@Burn]=0), IF([@Calc_Burn]="", "", IF([@Calc_Burn]&lt;=0, "Cashflow+", [@Cash]/[@Calc_Burn])), IF([@Burn]&lt;=0, "Cashflow+", [@Cash]/[@Burn])))</f>
        <v/>
      </c>
      <c r="AP10">
        <f>IF(OR([@Prev]="",[@Curr]=""), "", IF([@Prev]&lt;1000, "N/A", ([@Curr]-[@Prev]) / [@Prev]))</f>
        <v/>
      </c>
      <c r="AQ10">
        <f>IF([@StartMRR]="", "", IF([@StartMRR]&lt;1000, "N/A", ([@StartMRR]+[@Expansion]-[@Contraction]-[@Churn]) / [@StartMRR]))</f>
        <v/>
      </c>
      <c r="AR10">
        <f>IF(OR([@Spend]="",[@NewCustomers]=""), "", IF([@NewCustomers]&lt;=0, "N/A", [@Spend]/[@NewCustomers]))</f>
        <v/>
      </c>
      <c r="AS10">
        <f>IF(OR([@ARPA]="",[@GM]="",[@ChurnRate]=""), "", IF([@ChurnRate]&lt;=0, "N/A", [@ARPA]*[@GM]/[@ChurnRate]))</f>
        <v/>
      </c>
      <c r="AT10">
        <f>IF(OR([@ARPA]="",[@GM]=""), "", IF(([@ARPA]*[@GM])&lt;=0, "N/A", 200/([@ARPA]*[@GM])))</f>
        <v/>
      </c>
      <c r="AU10">
        <f>IF([@App_ARR]="","",IF(ABS([@App_ARR]-[@Calc_ARR])&lt;0.01,"PASS","FAIL"))</f>
        <v/>
      </c>
      <c r="AV10">
        <f>IF([@App_GM]="","",IF(ABS([@App_GM]-[@Calc_GM])&lt;0.0001,"PASS","FAIL"))</f>
        <v/>
      </c>
      <c r="AW10">
        <f>IF([@App_Burn]="","",IF(ABS([@App_Burn]-[@Calc_Burn])&lt;1,"PASS","FAIL"))</f>
        <v/>
      </c>
      <c r="AX10">
        <f>IF([@App_Runway]="","",IF(OR(AND([@App_Runway]="Cashflow+",[@Calc_Runway]="Cashflow+"),ABS([@App_Runway]-[@Calc_Runway])&lt;0.01),"PASS","FAIL"))</f>
        <v/>
      </c>
      <c r="AY10">
        <f>IF([@App_MoMGrowth]="","",IF(OR(AND([@App_MoMGrowth]="N/A",[@Calc_MoMGrowth]="N/A"),ABS([@App_MoMGrowth]-[@Calc_MoMGrowth])&lt;0.0001),"PASS","FAIL"))</f>
        <v/>
      </c>
      <c r="AZ10">
        <f>IF([@App_NRR]="","",IF(OR(AND([@App_NRR]="N/A",[@Calc_NRR]="N/A"),ABS([@App_NRR]-[@Calc_NRR])&lt;0.0001),"PASS","FAIL"))</f>
        <v/>
      </c>
      <c r="BA10">
        <f>IF([@App_CAC]="","",IF(OR(AND([@App_CAC]="N/A",[@Calc_CAC]="N/A"),ABS([@App_CAC]-[@Calc_CAC])&lt;0.01),"PASS","FAIL"))</f>
        <v/>
      </c>
      <c r="BB10">
        <f>IF([@App_LTV]="","",IF(OR(AND([@App_LTV]="N/A",[@Calc_LTV]="N/A"),ABS([@App_LTV]-[@Calc_LTV])&lt;0.01),"PASS","FAIL"))</f>
        <v/>
      </c>
      <c r="BC10">
        <f>IF([@App_Payback]="","",IF(OR(AND([@App_Payback]="N/A",[@Calc_Payback]="N/A"),ABS([@App_Payback]-[@Calc_Payback])&lt;0.01),"PASS","FAIL"))</f>
        <v/>
      </c>
    </row>
    <row r="11">
      <c r="A11" t="inlineStr">
        <is>
          <t>TC10_GM_REVENUE_ZERO</t>
        </is>
      </c>
      <c r="B11" t="inlineStr"/>
      <c r="C11" t="inlineStr"/>
      <c r="D11" t="inlineStr"/>
      <c r="E11" t="n">
        <v>0</v>
      </c>
      <c r="F11" t="n">
        <v>200000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Revenue&lt;=0 =&gt; GM N/A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>
        <f>IF([@MRR]="", "", [@MRR]*12)</f>
        <v/>
      </c>
      <c r="AM11">
        <f>IF(OR([@Revenue]="",[@Revenue]&lt;=0), "", ([@Revenue]-[@COGS]) / [@Revenue])</f>
        <v/>
      </c>
      <c r="AN11">
        <f>IF(OR([@Revenue]="",[@OpEx]="",[@COGS]=""), "", MAX(0, [@OpEx]+[@COGS]-[@Revenue]))</f>
        <v/>
      </c>
      <c r="AO11">
        <f>IF([@Cash]="", "", IF(OR([@Burn]="",[@Burn]=0), IF([@Calc_Burn]="", "", IF([@Calc_Burn]&lt;=0, "Cashflow+", [@Cash]/[@Calc_Burn])), IF([@Burn]&lt;=0, "Cashflow+", [@Cash]/[@Burn])))</f>
        <v/>
      </c>
      <c r="AP11">
        <f>IF(OR([@Prev]="",[@Curr]=""), "", IF([@Prev]&lt;1000, "N/A", ([@Curr]-[@Prev]) / [@Prev]))</f>
        <v/>
      </c>
      <c r="AQ11">
        <f>IF([@StartMRR]="", "", IF([@StartMRR]&lt;1000, "N/A", ([@StartMRR]+[@Expansion]-[@Contraction]-[@Churn]) / [@StartMRR]))</f>
        <v/>
      </c>
      <c r="AR11">
        <f>IF(OR([@Spend]="",[@NewCustomers]=""), "", IF([@NewCustomers]&lt;=0, "N/A", [@Spend]/[@NewCustomers]))</f>
        <v/>
      </c>
      <c r="AS11">
        <f>IF(OR([@ARPA]="",[@GM]="",[@ChurnRate]=""), "", IF([@ChurnRate]&lt;=0, "N/A", [@ARPA]*[@GM]/[@ChurnRate]))</f>
        <v/>
      </c>
      <c r="AT11">
        <f>IF(OR([@ARPA]="",[@GM]=""), "", IF(([@ARPA]*[@GM])&lt;=0, "N/A", 200/([@ARPA]*[@GM])))</f>
        <v/>
      </c>
      <c r="AU11">
        <f>IF([@App_ARR]="","",IF(ABS([@App_ARR]-[@Calc_ARR])&lt;0.01,"PASS","FAIL"))</f>
        <v/>
      </c>
      <c r="AV11">
        <f>IF([@App_GM]="","",IF(ABS([@App_GM]-[@Calc_GM])&lt;0.0001,"PASS","FAIL"))</f>
        <v/>
      </c>
      <c r="AW11">
        <f>IF([@App_Burn]="","",IF(ABS([@App_Burn]-[@Calc_Burn])&lt;1,"PASS","FAIL"))</f>
        <v/>
      </c>
      <c r="AX11">
        <f>IF([@App_Runway]="","",IF(OR(AND([@App_Runway]="Cashflow+",[@Calc_Runway]="Cashflow+"),ABS([@App_Runway]-[@Calc_Runway])&lt;0.01),"PASS","FAIL"))</f>
        <v/>
      </c>
      <c r="AY11">
        <f>IF([@App_MoMGrowth]="","",IF(OR(AND([@App_MoMGrowth]="N/A",[@Calc_MoMGrowth]="N/A"),ABS([@App_MoMGrowth]-[@Calc_MoMGrowth])&lt;0.0001),"PASS","FAIL"))</f>
        <v/>
      </c>
      <c r="AZ11">
        <f>IF([@App_NRR]="","",IF(OR(AND([@App_NRR]="N/A",[@Calc_NRR]="N/A"),ABS([@App_NRR]-[@Calc_NRR])&lt;0.0001),"PASS","FAIL"))</f>
        <v/>
      </c>
      <c r="BA11">
        <f>IF([@App_CAC]="","",IF(OR(AND([@App_CAC]="N/A",[@Calc_CAC]="N/A"),ABS([@App_CAC]-[@Calc_CAC])&lt;0.01),"PASS","FAIL"))</f>
        <v/>
      </c>
      <c r="BB11">
        <f>IF([@App_LTV]="","",IF(OR(AND([@App_LTV]="N/A",[@Calc_LTV]="N/A"),ABS([@App_LTV]-[@Calc_LTV])&lt;0.01),"PASS","FAIL"))</f>
        <v/>
      </c>
      <c r="BC11">
        <f>IF([@App_Payback]="","",IF(OR(AND([@App_Payback]="N/A",[@Calc_Payback]="N/A"),ABS([@App_Payback]-[@Calc_Payback])&lt;0.01),"PASS","FAIL"))</f>
        <v/>
      </c>
    </row>
    <row r="12">
      <c r="A12" t="inlineStr">
        <is>
          <t>TC11_GM_REVENUE_NEG</t>
        </is>
      </c>
      <c r="B12" t="inlineStr"/>
      <c r="C12" t="inlineStr"/>
      <c r="D12" t="inlineStr"/>
      <c r="E12" t="n">
        <v>-100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Negative revenue =&gt; GM N/A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>
        <f>IF([@MRR]="", "", [@MRR]*12)</f>
        <v/>
      </c>
      <c r="AM12">
        <f>IF(OR([@Revenue]="",[@Revenue]&lt;=0), "", ([@Revenue]-[@COGS]) / [@Revenue])</f>
        <v/>
      </c>
      <c r="AN12">
        <f>IF(OR([@Revenue]="",[@OpEx]="",[@COGS]=""), "", MAX(0, [@OpEx]+[@COGS]-[@Revenue]))</f>
        <v/>
      </c>
      <c r="AO12">
        <f>IF([@Cash]="", "", IF(OR([@Burn]="",[@Burn]=0), IF([@Calc_Burn]="", "", IF([@Calc_Burn]&lt;=0, "Cashflow+", [@Cash]/[@Calc_Burn])), IF([@Burn]&lt;=0, "Cashflow+", [@Cash]/[@Burn])))</f>
        <v/>
      </c>
      <c r="AP12">
        <f>IF(OR([@Prev]="",[@Curr]=""), "", IF([@Prev]&lt;1000, "N/A", ([@Curr]-[@Prev]) / [@Prev]))</f>
        <v/>
      </c>
      <c r="AQ12">
        <f>IF([@StartMRR]="", "", IF([@StartMRR]&lt;1000, "N/A", ([@StartMRR]+[@Expansion]-[@Contraction]-[@Churn]) / [@StartMRR]))</f>
        <v/>
      </c>
      <c r="AR12">
        <f>IF(OR([@Spend]="",[@NewCustomers]=""), "", IF([@NewCustomers]&lt;=0, "N/A", [@Spend]/[@NewCustomers]))</f>
        <v/>
      </c>
      <c r="AS12">
        <f>IF(OR([@ARPA]="",[@GM]="",[@ChurnRate]=""), "", IF([@ChurnRate]&lt;=0, "N/A", [@ARPA]*[@GM]/[@ChurnRate]))</f>
        <v/>
      </c>
      <c r="AT12">
        <f>IF(OR([@ARPA]="",[@GM]=""), "", IF(([@ARPA]*[@GM])&lt;=0, "N/A", 200/([@ARPA]*[@GM])))</f>
        <v/>
      </c>
      <c r="AU12">
        <f>IF([@App_ARR]="","",IF(ABS([@App_ARR]-[@Calc_ARR])&lt;0.01,"PASS","FAIL"))</f>
        <v/>
      </c>
      <c r="AV12">
        <f>IF([@App_GM]="","",IF(ABS([@App_GM]-[@Calc_GM])&lt;0.0001,"PASS","FAIL"))</f>
        <v/>
      </c>
      <c r="AW12">
        <f>IF([@App_Burn]="","",IF(ABS([@App_Burn]-[@Calc_Burn])&lt;1,"PASS","FAIL"))</f>
        <v/>
      </c>
      <c r="AX12">
        <f>IF([@App_Runway]="","",IF(OR(AND([@App_Runway]="Cashflow+",[@Calc_Runway]="Cashflow+"),ABS([@App_Runway]-[@Calc_Runway])&lt;0.01),"PASS","FAIL"))</f>
        <v/>
      </c>
      <c r="AY12">
        <f>IF([@App_MoMGrowth]="","",IF(OR(AND([@App_MoMGrowth]="N/A",[@Calc_MoMGrowth]="N/A"),ABS([@App_MoMGrowth]-[@Calc_MoMGrowth])&lt;0.0001),"PASS","FAIL"))</f>
        <v/>
      </c>
      <c r="AZ12">
        <f>IF([@App_NRR]="","",IF(OR(AND([@App_NRR]="N/A",[@Calc_NRR]="N/A"),ABS([@App_NRR]-[@Calc_NRR])&lt;0.0001),"PASS","FAIL"))</f>
        <v/>
      </c>
      <c r="BA12">
        <f>IF([@App_CAC]="","",IF(OR(AND([@App_CAC]="N/A",[@Calc_CAC]="N/A"),ABS([@App_CAC]-[@Calc_CAC])&lt;0.01),"PASS","FAIL"))</f>
        <v/>
      </c>
      <c r="BB12">
        <f>IF([@App_LTV]="","",IF(OR(AND([@App_LTV]="N/A",[@Calc_LTV]="N/A"),ABS([@App_LTV]-[@Calc_LTV])&lt;0.01),"PASS","FAIL"))</f>
        <v/>
      </c>
      <c r="BC12">
        <f>IF([@App_Payback]="","",IF(OR(AND([@App_Payback]="N/A",[@Calc_Payback]="N/A"),ABS([@App_Payback]-[@Calc_Payback])&lt;0.01),"PASS","FAIL"))</f>
        <v/>
      </c>
    </row>
    <row r="13">
      <c r="A13" t="inlineStr">
        <is>
          <t>TC12_GM_COGS_GT_REV</t>
        </is>
      </c>
      <c r="B13" t="inlineStr"/>
      <c r="C13" t="inlineStr"/>
      <c r="D13" t="inlineStr"/>
      <c r="E13" t="n">
        <v>100000</v>
      </c>
      <c r="F13" t="n">
        <v>150000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GM negative =&gt; allowed output -0.5</t>
        </is>
      </c>
      <c r="T13" t="inlineStr"/>
      <c r="U13" t="n">
        <v>-0.5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>
        <f>IF([@MRR]="", "", [@MRR]*12)</f>
        <v/>
      </c>
      <c r="AM13">
        <f>IF(OR([@Revenue]="",[@Revenue]&lt;=0), "", ([@Revenue]-[@COGS]) / [@Revenue])</f>
        <v/>
      </c>
      <c r="AN13">
        <f>IF(OR([@Revenue]="",[@OpEx]="",[@COGS]=""), "", MAX(0, [@OpEx]+[@COGS]-[@Revenue]))</f>
        <v/>
      </c>
      <c r="AO13">
        <f>IF([@Cash]="", "", IF(OR([@Burn]="",[@Burn]=0), IF([@Calc_Burn]="", "", IF([@Calc_Burn]&lt;=0, "Cashflow+", [@Cash]/[@Calc_Burn])), IF([@Burn]&lt;=0, "Cashflow+", [@Cash]/[@Burn])))</f>
        <v/>
      </c>
      <c r="AP13">
        <f>IF(OR([@Prev]="",[@Curr]=""), "", IF([@Prev]&lt;1000, "N/A", ([@Curr]-[@Prev]) / [@Prev]))</f>
        <v/>
      </c>
      <c r="AQ13">
        <f>IF([@StartMRR]="", "", IF([@StartMRR]&lt;1000, "N/A", ([@StartMRR]+[@Expansion]-[@Contraction]-[@Churn]) / [@StartMRR]))</f>
        <v/>
      </c>
      <c r="AR13">
        <f>IF(OR([@Spend]="",[@NewCustomers]=""), "", IF([@NewCustomers]&lt;=0, "N/A", [@Spend]/[@NewCustomers]))</f>
        <v/>
      </c>
      <c r="AS13">
        <f>IF(OR([@ARPA]="",[@GM]="",[@ChurnRate]=""), "", IF([@ChurnRate]&lt;=0, "N/A", [@ARPA]*[@GM]/[@ChurnRate]))</f>
        <v/>
      </c>
      <c r="AT13">
        <f>IF(OR([@ARPA]="",[@GM]=""), "", IF(([@ARPA]*[@GM])&lt;=0, "N/A", 200/([@ARPA]*[@GM])))</f>
        <v/>
      </c>
      <c r="AU13">
        <f>IF([@App_ARR]="","",IF(ABS([@App_ARR]-[@Calc_ARR])&lt;0.01,"PASS","FAIL"))</f>
        <v/>
      </c>
      <c r="AV13">
        <f>IF([@App_GM]="","",IF(ABS([@App_GM]-[@Calc_GM])&lt;0.0001,"PASS","FAIL"))</f>
        <v/>
      </c>
      <c r="AW13">
        <f>IF([@App_Burn]="","",IF(ABS([@App_Burn]-[@Calc_Burn])&lt;1,"PASS","FAIL"))</f>
        <v/>
      </c>
      <c r="AX13">
        <f>IF([@App_Runway]="","",IF(OR(AND([@App_Runway]="Cashflow+",[@Calc_Runway]="Cashflow+"),ABS([@App_Runway]-[@Calc_Runway])&lt;0.01),"PASS","FAIL"))</f>
        <v/>
      </c>
      <c r="AY13">
        <f>IF([@App_MoMGrowth]="","",IF(OR(AND([@App_MoMGrowth]="N/A",[@Calc_MoMGrowth]="N/A"),ABS([@App_MoMGrowth]-[@Calc_MoMGrowth])&lt;0.0001),"PASS","FAIL"))</f>
        <v/>
      </c>
      <c r="AZ13">
        <f>IF([@App_NRR]="","",IF(OR(AND([@App_NRR]="N/A",[@Calc_NRR]="N/A"),ABS([@App_NRR]-[@Calc_NRR])&lt;0.0001),"PASS","FAIL"))</f>
        <v/>
      </c>
      <c r="BA13">
        <f>IF([@App_CAC]="","",IF(OR(AND([@App_CAC]="N/A",[@Calc_CAC]="N/A"),ABS([@App_CAC]-[@Calc_CAC])&lt;0.01),"PASS","FAIL"))</f>
        <v/>
      </c>
      <c r="BB13">
        <f>IF([@App_LTV]="","",IF(OR(AND([@App_LTV]="N/A",[@Calc_LTV]="N/A"),ABS([@App_LTV]-[@Calc_LTV])&lt;0.01),"PASS","FAIL"))</f>
        <v/>
      </c>
      <c r="BC13">
        <f>IF([@App_Payback]="","",IF(OR(AND([@App_Payback]="N/A",[@Calc_Payback]="N/A"),ABS([@App_Payback]-[@Calc_Payback])&lt;0.01),"PASS","FAIL"))</f>
        <v/>
      </c>
    </row>
    <row r="14">
      <c r="A14" t="inlineStr">
        <is>
          <t>TC13_BURN_BASIC</t>
        </is>
      </c>
      <c r="B14" t="n">
        <v>4000000</v>
      </c>
      <c r="C14" t="inlineStr"/>
      <c r="D14" t="inlineStr"/>
      <c r="E14" t="n">
        <v>1000000</v>
      </c>
      <c r="F14" t="n">
        <v>300000</v>
      </c>
      <c r="G14" t="n">
        <v>900000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Burn=max(0,OpEx+COGS-Revenue)=200k</t>
        </is>
      </c>
      <c r="T14" t="inlineStr"/>
      <c r="U14" t="n">
        <v>0.7</v>
      </c>
      <c r="V14" t="n">
        <v>200000</v>
      </c>
      <c r="W14" t="n">
        <v>20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>
        <f>IF([@MRR]="", "", [@MRR]*12)</f>
        <v/>
      </c>
      <c r="AM14">
        <f>IF(OR([@Revenue]="",[@Revenue]&lt;=0), "", ([@Revenue]-[@COGS]) / [@Revenue])</f>
        <v/>
      </c>
      <c r="AN14">
        <f>IF(OR([@Revenue]="",[@OpEx]="",[@COGS]=""), "", MAX(0, [@OpEx]+[@COGS]-[@Revenue]))</f>
        <v/>
      </c>
      <c r="AO14">
        <f>IF([@Cash]="", "", IF(OR([@Burn]="",[@Burn]=0), IF([@Calc_Burn]="", "", IF([@Calc_Burn]&lt;=0, "Cashflow+", [@Cash]/[@Calc_Burn])), IF([@Burn]&lt;=0, "Cashflow+", [@Cash]/[@Burn])))</f>
        <v/>
      </c>
      <c r="AP14">
        <f>IF(OR([@Prev]="",[@Curr]=""), "", IF([@Prev]&lt;1000, "N/A", ([@Curr]-[@Prev]) / [@Prev]))</f>
        <v/>
      </c>
      <c r="AQ14">
        <f>IF([@StartMRR]="", "", IF([@StartMRR]&lt;1000, "N/A", ([@StartMRR]+[@Expansion]-[@Contraction]-[@Churn]) / [@StartMRR]))</f>
        <v/>
      </c>
      <c r="AR14">
        <f>IF(OR([@Spend]="",[@NewCustomers]=""), "", IF([@NewCustomers]&lt;=0, "N/A", [@Spend]/[@NewCustomers]))</f>
        <v/>
      </c>
      <c r="AS14">
        <f>IF(OR([@ARPA]="",[@GM]="",[@ChurnRate]=""), "", IF([@ChurnRate]&lt;=0, "N/A", [@ARPA]*[@GM]/[@ChurnRate]))</f>
        <v/>
      </c>
      <c r="AT14">
        <f>IF(OR([@ARPA]="",[@GM]=""), "", IF(([@ARPA]*[@GM])&lt;=0, "N/A", 200/([@ARPA]*[@GM])))</f>
        <v/>
      </c>
      <c r="AU14">
        <f>IF([@App_ARR]="","",IF(ABS([@App_ARR]-[@Calc_ARR])&lt;0.01,"PASS","FAIL"))</f>
        <v/>
      </c>
      <c r="AV14">
        <f>IF([@App_GM]="","",IF(ABS([@App_GM]-[@Calc_GM])&lt;0.0001,"PASS","FAIL"))</f>
        <v/>
      </c>
      <c r="AW14">
        <f>IF([@App_Burn]="","",IF(ABS([@App_Burn]-[@Calc_Burn])&lt;1,"PASS","FAIL"))</f>
        <v/>
      </c>
      <c r="AX14">
        <f>IF([@App_Runway]="","",IF(OR(AND([@App_Runway]="Cashflow+",[@Calc_Runway]="Cashflow+"),ABS([@App_Runway]-[@Calc_Runway])&lt;0.01),"PASS","FAIL"))</f>
        <v/>
      </c>
      <c r="AY14">
        <f>IF([@App_MoMGrowth]="","",IF(OR(AND([@App_MoMGrowth]="N/A",[@Calc_MoMGrowth]="N/A"),ABS([@App_MoMGrowth]-[@Calc_MoMGrowth])&lt;0.0001),"PASS","FAIL"))</f>
        <v/>
      </c>
      <c r="AZ14">
        <f>IF([@App_NRR]="","",IF(OR(AND([@App_NRR]="N/A",[@Calc_NRR]="N/A"),ABS([@App_NRR]-[@Calc_NRR])&lt;0.0001),"PASS","FAIL"))</f>
        <v/>
      </c>
      <c r="BA14">
        <f>IF([@App_CAC]="","",IF(OR(AND([@App_CAC]="N/A",[@Calc_CAC]="N/A"),ABS([@App_CAC]-[@Calc_CAC])&lt;0.01),"PASS","FAIL"))</f>
        <v/>
      </c>
      <c r="BB14">
        <f>IF([@App_LTV]="","",IF(OR(AND([@App_LTV]="N/A",[@Calc_LTV]="N/A"),ABS([@App_LTV]-[@Calc_LTV])&lt;0.01),"PASS","FAIL"))</f>
        <v/>
      </c>
      <c r="BC14">
        <f>IF([@App_Payback]="","",IF(OR(AND([@App_Payback]="N/A",[@Calc_Payback]="N/A"),ABS([@App_Payback]-[@Calc_Payback])&lt;0.01),"PASS","FAIL"))</f>
        <v/>
      </c>
    </row>
    <row r="15">
      <c r="A15" t="inlineStr">
        <is>
          <t>TC14_BURN_ZERO</t>
        </is>
      </c>
      <c r="B15" t="n">
        <v>4000000</v>
      </c>
      <c r="C15" t="inlineStr"/>
      <c r="D15" t="inlineStr"/>
      <c r="E15" t="n">
        <v>1200000</v>
      </c>
      <c r="F15" t="n">
        <v>200000</v>
      </c>
      <c r="G15" t="n">
        <v>900000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Cashflow positive =&gt; burn=0</t>
        </is>
      </c>
      <c r="T15" t="inlineStr"/>
      <c r="U15" t="n">
        <v>0.8333333333333334</v>
      </c>
      <c r="V15" t="n">
        <v>0</v>
      </c>
      <c r="W15" t="inlineStr">
        <is>
          <t>Cashflow+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>
        <f>IF([@MRR]="", "", [@MRR]*12)</f>
        <v/>
      </c>
      <c r="AM15">
        <f>IF(OR([@Revenue]="",[@Revenue]&lt;=0), "", ([@Revenue]-[@COGS]) / [@Revenue])</f>
        <v/>
      </c>
      <c r="AN15">
        <f>IF(OR([@Revenue]="",[@OpEx]="",[@COGS]=""), "", MAX(0, [@OpEx]+[@COGS]-[@Revenue]))</f>
        <v/>
      </c>
      <c r="AO15">
        <f>IF([@Cash]="", "", IF(OR([@Burn]="",[@Burn]=0), IF([@Calc_Burn]="", "", IF([@Calc_Burn]&lt;=0, "Cashflow+", [@Cash]/[@Calc_Burn])), IF([@Burn]&lt;=0, "Cashflow+", [@Cash]/[@Burn])))</f>
        <v/>
      </c>
      <c r="AP15">
        <f>IF(OR([@Prev]="",[@Curr]=""), "", IF([@Prev]&lt;1000, "N/A", ([@Curr]-[@Prev]) / [@Prev]))</f>
        <v/>
      </c>
      <c r="AQ15">
        <f>IF([@StartMRR]="", "", IF([@StartMRR]&lt;1000, "N/A", ([@StartMRR]+[@Expansion]-[@Contraction]-[@Churn]) / [@StartMRR]))</f>
        <v/>
      </c>
      <c r="AR15">
        <f>IF(OR([@Spend]="",[@NewCustomers]=""), "", IF([@NewCustomers]&lt;=0, "N/A", [@Spend]/[@NewCustomers]))</f>
        <v/>
      </c>
      <c r="AS15">
        <f>IF(OR([@ARPA]="",[@GM]="",[@ChurnRate]=""), "", IF([@ChurnRate]&lt;=0, "N/A", [@ARPA]*[@GM]/[@ChurnRate]))</f>
        <v/>
      </c>
      <c r="AT15">
        <f>IF(OR([@ARPA]="",[@GM]=""), "", IF(([@ARPA]*[@GM])&lt;=0, "N/A", 200/([@ARPA]*[@GM])))</f>
        <v/>
      </c>
      <c r="AU15">
        <f>IF([@App_ARR]="","",IF(ABS([@App_ARR]-[@Calc_ARR])&lt;0.01,"PASS","FAIL"))</f>
        <v/>
      </c>
      <c r="AV15">
        <f>IF([@App_GM]="","",IF(ABS([@App_GM]-[@Calc_GM])&lt;0.0001,"PASS","FAIL"))</f>
        <v/>
      </c>
      <c r="AW15">
        <f>IF([@App_Burn]="","",IF(ABS([@App_Burn]-[@Calc_Burn])&lt;1,"PASS","FAIL"))</f>
        <v/>
      </c>
      <c r="AX15">
        <f>IF([@App_Runway]="","",IF(OR(AND([@App_Runway]="Cashflow+",[@Calc_Runway]="Cashflow+"),ABS([@App_Runway]-[@Calc_Runway])&lt;0.01),"PASS","FAIL"))</f>
        <v/>
      </c>
      <c r="AY15">
        <f>IF([@App_MoMGrowth]="","",IF(OR(AND([@App_MoMGrowth]="N/A",[@Calc_MoMGrowth]="N/A"),ABS([@App_MoMGrowth]-[@Calc_MoMGrowth])&lt;0.0001),"PASS","FAIL"))</f>
        <v/>
      </c>
      <c r="AZ15">
        <f>IF([@App_NRR]="","",IF(OR(AND([@App_NRR]="N/A",[@Calc_NRR]="N/A"),ABS([@App_NRR]-[@Calc_NRR])&lt;0.0001),"PASS","FAIL"))</f>
        <v/>
      </c>
      <c r="BA15">
        <f>IF([@App_CAC]="","",IF(OR(AND([@App_CAC]="N/A",[@Calc_CAC]="N/A"),ABS([@App_CAC]-[@Calc_CAC])&lt;0.01),"PASS","FAIL"))</f>
        <v/>
      </c>
      <c r="BB15">
        <f>IF([@App_LTV]="","",IF(OR(AND([@App_LTV]="N/A",[@Calc_LTV]="N/A"),ABS([@App_LTV]-[@Calc_LTV])&lt;0.01),"PASS","FAIL"))</f>
        <v/>
      </c>
      <c r="BC15">
        <f>IF([@App_Payback]="","",IF(OR(AND([@App_Payback]="N/A",[@Calc_Payback]="N/A"),ABS([@App_Payback]-[@Calc_Payback])&lt;0.01),"PASS","FAIL"))</f>
        <v/>
      </c>
    </row>
    <row r="16">
      <c r="A16" t="inlineStr">
        <is>
          <t>TC15_BURN_MISSING_INPUTS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Missing =&gt; burn blank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>
        <f>IF([@MRR]="", "", [@MRR]*12)</f>
        <v/>
      </c>
      <c r="AM16">
        <f>IF(OR([@Revenue]="",[@Revenue]&lt;=0), "", ([@Revenue]-[@COGS]) / [@Revenue])</f>
        <v/>
      </c>
      <c r="AN16">
        <f>IF(OR([@Revenue]="",[@OpEx]="",[@COGS]=""), "", MAX(0, [@OpEx]+[@COGS]-[@Revenue]))</f>
        <v/>
      </c>
      <c r="AO16">
        <f>IF([@Cash]="", "", IF(OR([@Burn]="",[@Burn]=0), IF([@Calc_Burn]="", "", IF([@Calc_Burn]&lt;=0, "Cashflow+", [@Cash]/[@Calc_Burn])), IF([@Burn]&lt;=0, "Cashflow+", [@Cash]/[@Burn])))</f>
        <v/>
      </c>
      <c r="AP16">
        <f>IF(OR([@Prev]="",[@Curr]=""), "", IF([@Prev]&lt;1000, "N/A", ([@Curr]-[@Prev]) / [@Prev]))</f>
        <v/>
      </c>
      <c r="AQ16">
        <f>IF([@StartMRR]="", "", IF([@StartMRR]&lt;1000, "N/A", ([@StartMRR]+[@Expansion]-[@Contraction]-[@Churn]) / [@StartMRR]))</f>
        <v/>
      </c>
      <c r="AR16">
        <f>IF(OR([@Spend]="",[@NewCustomers]=""), "", IF([@NewCustomers]&lt;=0, "N/A", [@Spend]/[@NewCustomers]))</f>
        <v/>
      </c>
      <c r="AS16">
        <f>IF(OR([@ARPA]="",[@GM]="",[@ChurnRate]=""), "", IF([@ChurnRate]&lt;=0, "N/A", [@ARPA]*[@GM]/[@ChurnRate]))</f>
        <v/>
      </c>
      <c r="AT16">
        <f>IF(OR([@ARPA]="",[@GM]=""), "", IF(([@ARPA]*[@GM])&lt;=0, "N/A", 200/([@ARPA]*[@GM])))</f>
        <v/>
      </c>
      <c r="AU16">
        <f>IF([@App_ARR]="","",IF(ABS([@App_ARR]-[@Calc_ARR])&lt;0.01,"PASS","FAIL"))</f>
        <v/>
      </c>
      <c r="AV16">
        <f>IF([@App_GM]="","",IF(ABS([@App_GM]-[@Calc_GM])&lt;0.0001,"PASS","FAIL"))</f>
        <v/>
      </c>
      <c r="AW16">
        <f>IF([@App_Burn]="","",IF(ABS([@App_Burn]-[@Calc_Burn])&lt;1,"PASS","FAIL"))</f>
        <v/>
      </c>
      <c r="AX16">
        <f>IF([@App_Runway]="","",IF(OR(AND([@App_Runway]="Cashflow+",[@Calc_Runway]="Cashflow+"),ABS([@App_Runway]-[@Calc_Runway])&lt;0.01),"PASS","FAIL"))</f>
        <v/>
      </c>
      <c r="AY16">
        <f>IF([@App_MoMGrowth]="","",IF(OR(AND([@App_MoMGrowth]="N/A",[@Calc_MoMGrowth]="N/A"),ABS([@App_MoMGrowth]-[@Calc_MoMGrowth])&lt;0.0001),"PASS","FAIL"))</f>
        <v/>
      </c>
      <c r="AZ16">
        <f>IF([@App_NRR]="","",IF(OR(AND([@App_NRR]="N/A",[@Calc_NRR]="N/A"),ABS([@App_NRR]-[@Calc_NRR])&lt;0.0001),"PASS","FAIL"))</f>
        <v/>
      </c>
      <c r="BA16">
        <f>IF([@App_CAC]="","",IF(OR(AND([@App_CAC]="N/A",[@Calc_CAC]="N/A"),ABS([@App_CAC]-[@Calc_CAC])&lt;0.01),"PASS","FAIL"))</f>
        <v/>
      </c>
      <c r="BB16">
        <f>IF([@App_LTV]="","",IF(OR(AND([@App_LTV]="N/A",[@Calc_LTV]="N/A"),ABS([@App_LTV]-[@Calc_LTV])&lt;0.01),"PASS","FAIL"))</f>
        <v/>
      </c>
      <c r="BC16">
        <f>IF([@App_Payback]="","",IF(OR(AND([@App_Payback]="N/A",[@Calc_Payback]="N/A"),ABS([@App_Payback]-[@Calc_Payback])&lt;0.01),"PASS","FAIL"))</f>
        <v/>
      </c>
    </row>
    <row r="17">
      <c r="A17" t="inlineStr">
        <is>
          <t>TC16_MOMGROWTH_NORMAL</t>
        </is>
      </c>
      <c r="B17" t="inlineStr"/>
      <c r="C17" t="inlineStr"/>
      <c r="D17" t="inlineStr"/>
      <c r="E17" t="inlineStr"/>
      <c r="F17" t="inlineStr"/>
      <c r="G17" t="inlineStr"/>
      <c r="H17" t="n">
        <v>100000</v>
      </c>
      <c r="I17" t="n">
        <v>110000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10% MoM growth</t>
        </is>
      </c>
      <c r="T17" t="inlineStr"/>
      <c r="U17" t="inlineStr"/>
      <c r="V17" t="inlineStr"/>
      <c r="W17" t="inlineStr"/>
      <c r="X17" t="n">
        <v>0.1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>
        <f>IF([@MRR]="", "", [@MRR]*12)</f>
        <v/>
      </c>
      <c r="AM17">
        <f>IF(OR([@Revenue]="",[@Revenue]&lt;=0), "", ([@Revenue]-[@COGS]) / [@Revenue])</f>
        <v/>
      </c>
      <c r="AN17">
        <f>IF(OR([@Revenue]="",[@OpEx]="",[@COGS]=""), "", MAX(0, [@OpEx]+[@COGS]-[@Revenue]))</f>
        <v/>
      </c>
      <c r="AO17">
        <f>IF([@Cash]="", "", IF(OR([@Burn]="",[@Burn]=0), IF([@Calc_Burn]="", "", IF([@Calc_Burn]&lt;=0, "Cashflow+", [@Cash]/[@Calc_Burn])), IF([@Burn]&lt;=0, "Cashflow+", [@Cash]/[@Burn])))</f>
        <v/>
      </c>
      <c r="AP17">
        <f>IF(OR([@Prev]="",[@Curr]=""), "", IF([@Prev]&lt;1000, "N/A", ([@Curr]-[@Prev]) / [@Prev]))</f>
        <v/>
      </c>
      <c r="AQ17">
        <f>IF([@StartMRR]="", "", IF([@StartMRR]&lt;1000, "N/A", ([@StartMRR]+[@Expansion]-[@Contraction]-[@Churn]) / [@StartMRR]))</f>
        <v/>
      </c>
      <c r="AR17">
        <f>IF(OR([@Spend]="",[@NewCustomers]=""), "", IF([@NewCustomers]&lt;=0, "N/A", [@Spend]/[@NewCustomers]))</f>
        <v/>
      </c>
      <c r="AS17">
        <f>IF(OR([@ARPA]="",[@GM]="",[@ChurnRate]=""), "", IF([@ChurnRate]&lt;=0, "N/A", [@ARPA]*[@GM]/[@ChurnRate]))</f>
        <v/>
      </c>
      <c r="AT17">
        <f>IF(OR([@ARPA]="",[@GM]=""), "", IF(([@ARPA]*[@GM])&lt;=0, "N/A", 200/([@ARPA]*[@GM])))</f>
        <v/>
      </c>
      <c r="AU17">
        <f>IF([@App_ARR]="","",IF(ABS([@App_ARR]-[@Calc_ARR])&lt;0.01,"PASS","FAIL"))</f>
        <v/>
      </c>
      <c r="AV17">
        <f>IF([@App_GM]="","",IF(ABS([@App_GM]-[@Calc_GM])&lt;0.0001,"PASS","FAIL"))</f>
        <v/>
      </c>
      <c r="AW17">
        <f>IF([@App_Burn]="","",IF(ABS([@App_Burn]-[@Calc_Burn])&lt;1,"PASS","FAIL"))</f>
        <v/>
      </c>
      <c r="AX17">
        <f>IF([@App_Runway]="","",IF(OR(AND([@App_Runway]="Cashflow+",[@Calc_Runway]="Cashflow+"),ABS([@App_Runway]-[@Calc_Runway])&lt;0.01),"PASS","FAIL"))</f>
        <v/>
      </c>
      <c r="AY17">
        <f>IF([@App_MoMGrowth]="","",IF(OR(AND([@App_MoMGrowth]="N/A",[@Calc_MoMGrowth]="N/A"),ABS([@App_MoMGrowth]-[@Calc_MoMGrowth])&lt;0.0001),"PASS","FAIL"))</f>
        <v/>
      </c>
      <c r="AZ17">
        <f>IF([@App_NRR]="","",IF(OR(AND([@App_NRR]="N/A",[@Calc_NRR]="N/A"),ABS([@App_NRR]-[@Calc_NRR])&lt;0.0001),"PASS","FAIL"))</f>
        <v/>
      </c>
      <c r="BA17">
        <f>IF([@App_CAC]="","",IF(OR(AND([@App_CAC]="N/A",[@Calc_CAC]="N/A"),ABS([@App_CAC]-[@Calc_CAC])&lt;0.01),"PASS","FAIL"))</f>
        <v/>
      </c>
      <c r="BB17">
        <f>IF([@App_LTV]="","",IF(OR(AND([@App_LTV]="N/A",[@Calc_LTV]="N/A"),ABS([@App_LTV]-[@Calc_LTV])&lt;0.01),"PASS","FAIL"))</f>
        <v/>
      </c>
      <c r="BC17">
        <f>IF([@App_Payback]="","",IF(OR(AND([@App_Payback]="N/A",[@Calc_Payback]="N/A"),ABS([@App_Payback]-[@Calc_Payback])&lt;0.01),"PASS","FAIL"))</f>
        <v/>
      </c>
    </row>
    <row r="18">
      <c r="A18" t="inlineStr">
        <is>
          <t>TC17_MOMGROWTH_DENOM_SMALL</t>
        </is>
      </c>
      <c r="B18" t="inlineStr"/>
      <c r="C18" t="inlineStr"/>
      <c r="D18" t="inlineStr"/>
      <c r="E18" t="inlineStr"/>
      <c r="F18" t="inlineStr"/>
      <c r="G18" t="inlineStr"/>
      <c r="H18" t="n">
        <v>50</v>
      </c>
      <c r="I18" t="n">
        <v>5000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Prev&lt;1000 =&gt; N/A</t>
        </is>
      </c>
      <c r="T18" t="inlineStr"/>
      <c r="U18" t="inlineStr"/>
      <c r="V18" t="inlineStr"/>
      <c r="W18" t="inlineStr"/>
      <c r="X18" t="inlineStr">
        <is>
          <t>N/A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>
        <f>IF([@MRR]="", "", [@MRR]*12)</f>
        <v/>
      </c>
      <c r="AM18">
        <f>IF(OR([@Revenue]="",[@Revenue]&lt;=0), "", ([@Revenue]-[@COGS]) / [@Revenue])</f>
        <v/>
      </c>
      <c r="AN18">
        <f>IF(OR([@Revenue]="",[@OpEx]="",[@COGS]=""), "", MAX(0, [@OpEx]+[@COGS]-[@Revenue]))</f>
        <v/>
      </c>
      <c r="AO18">
        <f>IF([@Cash]="", "", IF(OR([@Burn]="",[@Burn]=0), IF([@Calc_Burn]="", "", IF([@Calc_Burn]&lt;=0, "Cashflow+", [@Cash]/[@Calc_Burn])), IF([@Burn]&lt;=0, "Cashflow+", [@Cash]/[@Burn])))</f>
        <v/>
      </c>
      <c r="AP18">
        <f>IF(OR([@Prev]="",[@Curr]=""), "", IF([@Prev]&lt;1000, "N/A", ([@Curr]-[@Prev]) / [@Prev]))</f>
        <v/>
      </c>
      <c r="AQ18">
        <f>IF([@StartMRR]="", "", IF([@StartMRR]&lt;1000, "N/A", ([@StartMRR]+[@Expansion]-[@Contraction]-[@Churn]) / [@StartMRR]))</f>
        <v/>
      </c>
      <c r="AR18">
        <f>IF(OR([@Spend]="",[@NewCustomers]=""), "", IF([@NewCustomers]&lt;=0, "N/A", [@Spend]/[@NewCustomers]))</f>
        <v/>
      </c>
      <c r="AS18">
        <f>IF(OR([@ARPA]="",[@GM]="",[@ChurnRate]=""), "", IF([@ChurnRate]&lt;=0, "N/A", [@ARPA]*[@GM]/[@ChurnRate]))</f>
        <v/>
      </c>
      <c r="AT18">
        <f>IF(OR([@ARPA]="",[@GM]=""), "", IF(([@ARPA]*[@GM])&lt;=0, "N/A", 200/([@ARPA]*[@GM])))</f>
        <v/>
      </c>
      <c r="AU18">
        <f>IF([@App_ARR]="","",IF(ABS([@App_ARR]-[@Calc_ARR])&lt;0.01,"PASS","FAIL"))</f>
        <v/>
      </c>
      <c r="AV18">
        <f>IF([@App_GM]="","",IF(ABS([@App_GM]-[@Calc_GM])&lt;0.0001,"PASS","FAIL"))</f>
        <v/>
      </c>
      <c r="AW18">
        <f>IF([@App_Burn]="","",IF(ABS([@App_Burn]-[@Calc_Burn])&lt;1,"PASS","FAIL"))</f>
        <v/>
      </c>
      <c r="AX18">
        <f>IF([@App_Runway]="","",IF(OR(AND([@App_Runway]="Cashflow+",[@Calc_Runway]="Cashflow+"),ABS([@App_Runway]-[@Calc_Runway])&lt;0.01),"PASS","FAIL"))</f>
        <v/>
      </c>
      <c r="AY18">
        <f>IF([@App_MoMGrowth]="","",IF(OR(AND([@App_MoMGrowth]="N/A",[@Calc_MoMGrowth]="N/A"),ABS([@App_MoMGrowth]-[@Calc_MoMGrowth])&lt;0.0001),"PASS","FAIL"))</f>
        <v/>
      </c>
      <c r="AZ18">
        <f>IF([@App_NRR]="","",IF(OR(AND([@App_NRR]="N/A",[@Calc_NRR]="N/A"),ABS([@App_NRR]-[@Calc_NRR])&lt;0.0001),"PASS","FAIL"))</f>
        <v/>
      </c>
      <c r="BA18">
        <f>IF([@App_CAC]="","",IF(OR(AND([@App_CAC]="N/A",[@Calc_CAC]="N/A"),ABS([@App_CAC]-[@Calc_CAC])&lt;0.01),"PASS","FAIL"))</f>
        <v/>
      </c>
      <c r="BB18">
        <f>IF([@App_LTV]="","",IF(OR(AND([@App_LTV]="N/A",[@Calc_LTV]="N/A"),ABS([@App_LTV]-[@Calc_LTV])&lt;0.01),"PASS","FAIL"))</f>
        <v/>
      </c>
      <c r="BC18">
        <f>IF([@App_Payback]="","",IF(OR(AND([@App_Payback]="N/A",[@Calc_Payback]="N/A"),ABS([@App_Payback]-[@Calc_Payback])&lt;0.01),"PASS","FAIL"))</f>
        <v/>
      </c>
    </row>
    <row r="19">
      <c r="A19" t="inlineStr">
        <is>
          <t>TC18_MOMGROWTH_NEGATIVE</t>
        </is>
      </c>
      <c r="B19" t="inlineStr"/>
      <c r="C19" t="inlineStr"/>
      <c r="D19" t="inlineStr"/>
      <c r="E19" t="inlineStr"/>
      <c r="F19" t="inlineStr"/>
      <c r="G19" t="inlineStr"/>
      <c r="H19" t="n">
        <v>200000</v>
      </c>
      <c r="I19" t="n">
        <v>150000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-25% MoM growth</t>
        </is>
      </c>
      <c r="T19" t="inlineStr"/>
      <c r="U19" t="inlineStr"/>
      <c r="V19" t="inlineStr"/>
      <c r="W19" t="inlineStr"/>
      <c r="X19" t="n">
        <v>-0.25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>
        <f>IF([@MRR]="", "", [@MRR]*12)</f>
        <v/>
      </c>
      <c r="AM19">
        <f>IF(OR([@Revenue]="",[@Revenue]&lt;=0), "", ([@Revenue]-[@COGS]) / [@Revenue])</f>
        <v/>
      </c>
      <c r="AN19">
        <f>IF(OR([@Revenue]="",[@OpEx]="",[@COGS]=""), "", MAX(0, [@OpEx]+[@COGS]-[@Revenue]))</f>
        <v/>
      </c>
      <c r="AO19">
        <f>IF([@Cash]="", "", IF(OR([@Burn]="",[@Burn]=0), IF([@Calc_Burn]="", "", IF([@Calc_Burn]&lt;=0, "Cashflow+", [@Cash]/[@Calc_Burn])), IF([@Burn]&lt;=0, "Cashflow+", [@Cash]/[@Burn])))</f>
        <v/>
      </c>
      <c r="AP19">
        <f>IF(OR([@Prev]="",[@Curr]=""), "", IF([@Prev]&lt;1000, "N/A", ([@Curr]-[@Prev]) / [@Prev]))</f>
        <v/>
      </c>
      <c r="AQ19">
        <f>IF([@StartMRR]="", "", IF([@StartMRR]&lt;1000, "N/A", ([@StartMRR]+[@Expansion]-[@Contraction]-[@Churn]) / [@StartMRR]))</f>
        <v/>
      </c>
      <c r="AR19">
        <f>IF(OR([@Spend]="",[@NewCustomers]=""), "", IF([@NewCustomers]&lt;=0, "N/A", [@Spend]/[@NewCustomers]))</f>
        <v/>
      </c>
      <c r="AS19">
        <f>IF(OR([@ARPA]="",[@GM]="",[@ChurnRate]=""), "", IF([@ChurnRate]&lt;=0, "N/A", [@ARPA]*[@GM]/[@ChurnRate]))</f>
        <v/>
      </c>
      <c r="AT19">
        <f>IF(OR([@ARPA]="",[@GM]=""), "", IF(([@ARPA]*[@GM])&lt;=0, "N/A", 200/([@ARPA]*[@GM])))</f>
        <v/>
      </c>
      <c r="AU19">
        <f>IF([@App_ARR]="","",IF(ABS([@App_ARR]-[@Calc_ARR])&lt;0.01,"PASS","FAIL"))</f>
        <v/>
      </c>
      <c r="AV19">
        <f>IF([@App_GM]="","",IF(ABS([@App_GM]-[@Calc_GM])&lt;0.0001,"PASS","FAIL"))</f>
        <v/>
      </c>
      <c r="AW19">
        <f>IF([@App_Burn]="","",IF(ABS([@App_Burn]-[@Calc_Burn])&lt;1,"PASS","FAIL"))</f>
        <v/>
      </c>
      <c r="AX19">
        <f>IF([@App_Runway]="","",IF(OR(AND([@App_Runway]="Cashflow+",[@Calc_Runway]="Cashflow+"),ABS([@App_Runway]-[@Calc_Runway])&lt;0.01),"PASS","FAIL"))</f>
        <v/>
      </c>
      <c r="AY19">
        <f>IF([@App_MoMGrowth]="","",IF(OR(AND([@App_MoMGrowth]="N/A",[@Calc_MoMGrowth]="N/A"),ABS([@App_MoMGrowth]-[@Calc_MoMGrowth])&lt;0.0001),"PASS","FAIL"))</f>
        <v/>
      </c>
      <c r="AZ19">
        <f>IF([@App_NRR]="","",IF(OR(AND([@App_NRR]="N/A",[@Calc_NRR]="N/A"),ABS([@App_NRR]-[@Calc_NRR])&lt;0.0001),"PASS","FAIL"))</f>
        <v/>
      </c>
      <c r="BA19">
        <f>IF([@App_CAC]="","",IF(OR(AND([@App_CAC]="N/A",[@Calc_CAC]="N/A"),ABS([@App_CAC]-[@Calc_CAC])&lt;0.01),"PASS","FAIL"))</f>
        <v/>
      </c>
      <c r="BB19">
        <f>IF([@App_LTV]="","",IF(OR(AND([@App_LTV]="N/A",[@Calc_LTV]="N/A"),ABS([@App_LTV]-[@Calc_LTV])&lt;0.01),"PASS","FAIL"))</f>
        <v/>
      </c>
      <c r="BC19">
        <f>IF([@App_Payback]="","",IF(OR(AND([@App_Payback]="N/A",[@Calc_Payback]="N/A"),ABS([@App_Payback]-[@Calc_Payback])&lt;0.01),"PASS","FAIL"))</f>
        <v/>
      </c>
    </row>
    <row r="20">
      <c r="A20" t="inlineStr">
        <is>
          <t>TC19_NRR_NORMAL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100000</v>
      </c>
      <c r="K20" t="n">
        <v>20000</v>
      </c>
      <c r="L20" t="n">
        <v>5000</v>
      </c>
      <c r="M20" t="n">
        <v>10000</v>
      </c>
      <c r="N20" t="inlineStr"/>
      <c r="O20" t="inlineStr"/>
      <c r="P20" t="inlineStr"/>
      <c r="Q20" t="inlineStr"/>
      <c r="R20" t="inlineStr"/>
      <c r="S20" t="inlineStr">
        <is>
          <t>NRR=1.05</t>
        </is>
      </c>
      <c r="T20" t="inlineStr"/>
      <c r="U20" t="inlineStr"/>
      <c r="V20" t="inlineStr"/>
      <c r="W20" t="inlineStr"/>
      <c r="X20" t="inlineStr"/>
      <c r="Y20" t="n">
        <v>1.05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>
        <f>IF([@MRR]="", "", [@MRR]*12)</f>
        <v/>
      </c>
      <c r="AM20">
        <f>IF(OR([@Revenue]="",[@Revenue]&lt;=0), "", ([@Revenue]-[@COGS]) / [@Revenue])</f>
        <v/>
      </c>
      <c r="AN20">
        <f>IF(OR([@Revenue]="",[@OpEx]="",[@COGS]=""), "", MAX(0, [@OpEx]+[@COGS]-[@Revenue]))</f>
        <v/>
      </c>
      <c r="AO20">
        <f>IF([@Cash]="", "", IF(OR([@Burn]="",[@Burn]=0), IF([@Calc_Burn]="", "", IF([@Calc_Burn]&lt;=0, "Cashflow+", [@Cash]/[@Calc_Burn])), IF([@Burn]&lt;=0, "Cashflow+", [@Cash]/[@Burn])))</f>
        <v/>
      </c>
      <c r="AP20">
        <f>IF(OR([@Prev]="",[@Curr]=""), "", IF([@Prev]&lt;1000, "N/A", ([@Curr]-[@Prev]) / [@Prev]))</f>
        <v/>
      </c>
      <c r="AQ20">
        <f>IF([@StartMRR]="", "", IF([@StartMRR]&lt;1000, "N/A", ([@StartMRR]+[@Expansion]-[@Contraction]-[@Churn]) / [@StartMRR]))</f>
        <v/>
      </c>
      <c r="AR20">
        <f>IF(OR([@Spend]="",[@NewCustomers]=""), "", IF([@NewCustomers]&lt;=0, "N/A", [@Spend]/[@NewCustomers]))</f>
        <v/>
      </c>
      <c r="AS20">
        <f>IF(OR([@ARPA]="",[@GM]="",[@ChurnRate]=""), "", IF([@ChurnRate]&lt;=0, "N/A", [@ARPA]*[@GM]/[@ChurnRate]))</f>
        <v/>
      </c>
      <c r="AT20">
        <f>IF(OR([@ARPA]="",[@GM]=""), "", IF(([@ARPA]*[@GM])&lt;=0, "N/A", 200/([@ARPA]*[@GM])))</f>
        <v/>
      </c>
      <c r="AU20">
        <f>IF([@App_ARR]="","",IF(ABS([@App_ARR]-[@Calc_ARR])&lt;0.01,"PASS","FAIL"))</f>
        <v/>
      </c>
      <c r="AV20">
        <f>IF([@App_GM]="","",IF(ABS([@App_GM]-[@Calc_GM])&lt;0.0001,"PASS","FAIL"))</f>
        <v/>
      </c>
      <c r="AW20">
        <f>IF([@App_Burn]="","",IF(ABS([@App_Burn]-[@Calc_Burn])&lt;1,"PASS","FAIL"))</f>
        <v/>
      </c>
      <c r="AX20">
        <f>IF([@App_Runway]="","",IF(OR(AND([@App_Runway]="Cashflow+",[@Calc_Runway]="Cashflow+"),ABS([@App_Runway]-[@Calc_Runway])&lt;0.01),"PASS","FAIL"))</f>
        <v/>
      </c>
      <c r="AY20">
        <f>IF([@App_MoMGrowth]="","",IF(OR(AND([@App_MoMGrowth]="N/A",[@Calc_MoMGrowth]="N/A"),ABS([@App_MoMGrowth]-[@Calc_MoMGrowth])&lt;0.0001),"PASS","FAIL"))</f>
        <v/>
      </c>
      <c r="AZ20">
        <f>IF([@App_NRR]="","",IF(OR(AND([@App_NRR]="N/A",[@Calc_NRR]="N/A"),ABS([@App_NRR]-[@Calc_NRR])&lt;0.0001),"PASS","FAIL"))</f>
        <v/>
      </c>
      <c r="BA20">
        <f>IF([@App_CAC]="","",IF(OR(AND([@App_CAC]="N/A",[@Calc_CAC]="N/A"),ABS([@App_CAC]-[@Calc_CAC])&lt;0.01),"PASS","FAIL"))</f>
        <v/>
      </c>
      <c r="BB20">
        <f>IF([@App_LTV]="","",IF(OR(AND([@App_LTV]="N/A",[@Calc_LTV]="N/A"),ABS([@App_LTV]-[@Calc_LTV])&lt;0.01),"PASS","FAIL"))</f>
        <v/>
      </c>
      <c r="BC20">
        <f>IF([@App_Payback]="","",IF(OR(AND([@App_Payback]="N/A",[@Calc_Payback]="N/A"),ABS([@App_Payback]-[@Calc_Payback])&lt;0.01),"PASS","FAIL"))</f>
        <v/>
      </c>
    </row>
    <row r="21">
      <c r="A21" t="inlineStr">
        <is>
          <t>TC20_NRR_DENOM_SMALL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500</v>
      </c>
      <c r="K21" t="n">
        <v>200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StartMRR&lt;1000 =&gt; N/A</t>
        </is>
      </c>
      <c r="T21" t="inlineStr"/>
      <c r="U21" t="inlineStr"/>
      <c r="V21" t="inlineStr"/>
      <c r="W21" t="inlineStr"/>
      <c r="X21" t="inlineStr"/>
      <c r="Y21" t="inlineStr">
        <is>
          <t>N/A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>
        <f>IF([@MRR]="", "", [@MRR]*12)</f>
        <v/>
      </c>
      <c r="AM21">
        <f>IF(OR([@Revenue]="",[@Revenue]&lt;=0), "", ([@Revenue]-[@COGS]) / [@Revenue])</f>
        <v/>
      </c>
      <c r="AN21">
        <f>IF(OR([@Revenue]="",[@OpEx]="",[@COGS]=""), "", MAX(0, [@OpEx]+[@COGS]-[@Revenue]))</f>
        <v/>
      </c>
      <c r="AO21">
        <f>IF([@Cash]="", "", IF(OR([@Burn]="",[@Burn]=0), IF([@Calc_Burn]="", "", IF([@Calc_Burn]&lt;=0, "Cashflow+", [@Cash]/[@Calc_Burn])), IF([@Burn]&lt;=0, "Cashflow+", [@Cash]/[@Burn])))</f>
        <v/>
      </c>
      <c r="AP21">
        <f>IF(OR([@Prev]="",[@Curr]=""), "", IF([@Prev]&lt;1000, "N/A", ([@Curr]-[@Prev]) / [@Prev]))</f>
        <v/>
      </c>
      <c r="AQ21">
        <f>IF([@StartMRR]="", "", IF([@StartMRR]&lt;1000, "N/A", ([@StartMRR]+[@Expansion]-[@Contraction]-[@Churn]) / [@StartMRR]))</f>
        <v/>
      </c>
      <c r="AR21">
        <f>IF(OR([@Spend]="",[@NewCustomers]=""), "", IF([@NewCustomers]&lt;=0, "N/A", [@Spend]/[@NewCustomers]))</f>
        <v/>
      </c>
      <c r="AS21">
        <f>IF(OR([@ARPA]="",[@GM]="",[@ChurnRate]=""), "", IF([@ChurnRate]&lt;=0, "N/A", [@ARPA]*[@GM]/[@ChurnRate]))</f>
        <v/>
      </c>
      <c r="AT21">
        <f>IF(OR([@ARPA]="",[@GM]=""), "", IF(([@ARPA]*[@GM])&lt;=0, "N/A", 200/([@ARPA]*[@GM])))</f>
        <v/>
      </c>
      <c r="AU21">
        <f>IF([@App_ARR]="","",IF(ABS([@App_ARR]-[@Calc_ARR])&lt;0.01,"PASS","FAIL"))</f>
        <v/>
      </c>
      <c r="AV21">
        <f>IF([@App_GM]="","",IF(ABS([@App_GM]-[@Calc_GM])&lt;0.0001,"PASS","FAIL"))</f>
        <v/>
      </c>
      <c r="AW21">
        <f>IF([@App_Burn]="","",IF(ABS([@App_Burn]-[@Calc_Burn])&lt;1,"PASS","FAIL"))</f>
        <v/>
      </c>
      <c r="AX21">
        <f>IF([@App_Runway]="","",IF(OR(AND([@App_Runway]="Cashflow+",[@Calc_Runway]="Cashflow+"),ABS([@App_Runway]-[@Calc_Runway])&lt;0.01),"PASS","FAIL"))</f>
        <v/>
      </c>
      <c r="AY21">
        <f>IF([@App_MoMGrowth]="","",IF(OR(AND([@App_MoMGrowth]="N/A",[@Calc_MoMGrowth]="N/A"),ABS([@App_MoMGrowth]-[@Calc_MoMGrowth])&lt;0.0001),"PASS","FAIL"))</f>
        <v/>
      </c>
      <c r="AZ21">
        <f>IF([@App_NRR]="","",IF(OR(AND([@App_NRR]="N/A",[@Calc_NRR]="N/A"),ABS([@App_NRR]-[@Calc_NRR])&lt;0.0001),"PASS","FAIL"))</f>
        <v/>
      </c>
      <c r="BA21">
        <f>IF([@App_CAC]="","",IF(OR(AND([@App_CAC]="N/A",[@Calc_CAC]="N/A"),ABS([@App_CAC]-[@Calc_CAC])&lt;0.01),"PASS","FAIL"))</f>
        <v/>
      </c>
      <c r="BB21">
        <f>IF([@App_LTV]="","",IF(OR(AND([@App_LTV]="N/A",[@Calc_LTV]="N/A"),ABS([@App_LTV]-[@Calc_LTV])&lt;0.01),"PASS","FAIL"))</f>
        <v/>
      </c>
      <c r="BC21">
        <f>IF([@App_Payback]="","",IF(OR(AND([@App_Payback]="N/A",[@Calc_Payback]="N/A"),ABS([@App_Payback]-[@Calc_Payback])&lt;0.01),"PASS","FAIL"))</f>
        <v/>
      </c>
    </row>
    <row r="22">
      <c r="A22" t="inlineStr">
        <is>
          <t>TC21_NRR_OUTLIER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10000</v>
      </c>
      <c r="K22" t="n">
        <v>50000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NRR=6.0 =&gt; OUTLIER warning expected in app</t>
        </is>
      </c>
      <c r="T22" t="inlineStr"/>
      <c r="U22" t="inlineStr"/>
      <c r="V22" t="inlineStr"/>
      <c r="W22" t="inlineStr"/>
      <c r="X22" t="inlineStr"/>
      <c r="Y22" t="n">
        <v>6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>
        <f>IF([@MRR]="", "", [@MRR]*12)</f>
        <v/>
      </c>
      <c r="AM22">
        <f>IF(OR([@Revenue]="",[@Revenue]&lt;=0), "", ([@Revenue]-[@COGS]) / [@Revenue])</f>
        <v/>
      </c>
      <c r="AN22">
        <f>IF(OR([@Revenue]="",[@OpEx]="",[@COGS]=""), "", MAX(0, [@OpEx]+[@COGS]-[@Revenue]))</f>
        <v/>
      </c>
      <c r="AO22">
        <f>IF([@Cash]="", "", IF(OR([@Burn]="",[@Burn]=0), IF([@Calc_Burn]="", "", IF([@Calc_Burn]&lt;=0, "Cashflow+", [@Cash]/[@Calc_Burn])), IF([@Burn]&lt;=0, "Cashflow+", [@Cash]/[@Burn])))</f>
        <v/>
      </c>
      <c r="AP22">
        <f>IF(OR([@Prev]="",[@Curr]=""), "", IF([@Prev]&lt;1000, "N/A", ([@Curr]-[@Prev]) / [@Prev]))</f>
        <v/>
      </c>
      <c r="AQ22">
        <f>IF([@StartMRR]="", "", IF([@StartMRR]&lt;1000, "N/A", ([@StartMRR]+[@Expansion]-[@Contraction]-[@Churn]) / [@StartMRR]))</f>
        <v/>
      </c>
      <c r="AR22">
        <f>IF(OR([@Spend]="",[@NewCustomers]=""), "", IF([@NewCustomers]&lt;=0, "N/A", [@Spend]/[@NewCustomers]))</f>
        <v/>
      </c>
      <c r="AS22">
        <f>IF(OR([@ARPA]="",[@GM]="",[@ChurnRate]=""), "", IF([@ChurnRate]&lt;=0, "N/A", [@ARPA]*[@GM]/[@ChurnRate]))</f>
        <v/>
      </c>
      <c r="AT22">
        <f>IF(OR([@ARPA]="",[@GM]=""), "", IF(([@ARPA]*[@GM])&lt;=0, "N/A", 200/([@ARPA]*[@GM])))</f>
        <v/>
      </c>
      <c r="AU22">
        <f>IF([@App_ARR]="","",IF(ABS([@App_ARR]-[@Calc_ARR])&lt;0.01,"PASS","FAIL"))</f>
        <v/>
      </c>
      <c r="AV22">
        <f>IF([@App_GM]="","",IF(ABS([@App_GM]-[@Calc_GM])&lt;0.0001,"PASS","FAIL"))</f>
        <v/>
      </c>
      <c r="AW22">
        <f>IF([@App_Burn]="","",IF(ABS([@App_Burn]-[@Calc_Burn])&lt;1,"PASS","FAIL"))</f>
        <v/>
      </c>
      <c r="AX22">
        <f>IF([@App_Runway]="","",IF(OR(AND([@App_Runway]="Cashflow+",[@Calc_Runway]="Cashflow+"),ABS([@App_Runway]-[@Calc_Runway])&lt;0.01),"PASS","FAIL"))</f>
        <v/>
      </c>
      <c r="AY22">
        <f>IF([@App_MoMGrowth]="","",IF(OR(AND([@App_MoMGrowth]="N/A",[@Calc_MoMGrowth]="N/A"),ABS([@App_MoMGrowth]-[@Calc_MoMGrowth])&lt;0.0001),"PASS","FAIL"))</f>
        <v/>
      </c>
      <c r="AZ22">
        <f>IF([@App_NRR]="","",IF(OR(AND([@App_NRR]="N/A",[@Calc_NRR]="N/A"),ABS([@App_NRR]-[@Calc_NRR])&lt;0.0001),"PASS","FAIL"))</f>
        <v/>
      </c>
      <c r="BA22">
        <f>IF([@App_CAC]="","",IF(OR(AND([@App_CAC]="N/A",[@Calc_CAC]="N/A"),ABS([@App_CAC]-[@Calc_CAC])&lt;0.01),"PASS","FAIL"))</f>
        <v/>
      </c>
      <c r="BB22">
        <f>IF([@App_LTV]="","",IF(OR(AND([@App_LTV]="N/A",[@Calc_LTV]="N/A"),ABS([@App_LTV]-[@Calc_LTV])&lt;0.01),"PASS","FAIL"))</f>
        <v/>
      </c>
      <c r="BC22">
        <f>IF([@App_Payback]="","",IF(OR(AND([@App_Payback]="N/A",[@Calc_Payback]="N/A"),ABS([@App_Payback]-[@Calc_Payback])&lt;0.01),"PASS","FAIL"))</f>
        <v/>
      </c>
    </row>
    <row r="23">
      <c r="A23" t="inlineStr">
        <is>
          <t>TC22_NRR_CONTRACTION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100000</v>
      </c>
      <c r="K23" t="n">
        <v>0</v>
      </c>
      <c r="L23" t="n">
        <v>15000</v>
      </c>
      <c r="M23" t="n">
        <v>5000</v>
      </c>
      <c r="N23" t="inlineStr"/>
      <c r="O23" t="inlineStr"/>
      <c r="P23" t="inlineStr"/>
      <c r="Q23" t="inlineStr"/>
      <c r="R23" t="inlineStr"/>
      <c r="S23" t="inlineStr">
        <is>
          <t>NRR=0.80</t>
        </is>
      </c>
      <c r="T23" t="inlineStr"/>
      <c r="U23" t="inlineStr"/>
      <c r="V23" t="inlineStr"/>
      <c r="W23" t="inlineStr"/>
      <c r="X23" t="inlineStr"/>
      <c r="Y23" t="n">
        <v>0.8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>
        <f>IF([@MRR]="", "", [@MRR]*12)</f>
        <v/>
      </c>
      <c r="AM23">
        <f>IF(OR([@Revenue]="",[@Revenue]&lt;=0), "", ([@Revenue]-[@COGS]) / [@Revenue])</f>
        <v/>
      </c>
      <c r="AN23">
        <f>IF(OR([@Revenue]="",[@OpEx]="",[@COGS]=""), "", MAX(0, [@OpEx]+[@COGS]-[@Revenue]))</f>
        <v/>
      </c>
      <c r="AO23">
        <f>IF([@Cash]="", "", IF(OR([@Burn]="",[@Burn]=0), IF([@Calc_Burn]="", "", IF([@Calc_Burn]&lt;=0, "Cashflow+", [@Cash]/[@Calc_Burn])), IF([@Burn]&lt;=0, "Cashflow+", [@Cash]/[@Burn])))</f>
        <v/>
      </c>
      <c r="AP23">
        <f>IF(OR([@Prev]="",[@Curr]=""), "", IF([@Prev]&lt;1000, "N/A", ([@Curr]-[@Prev]) / [@Prev]))</f>
        <v/>
      </c>
      <c r="AQ23">
        <f>IF([@StartMRR]="", "", IF([@StartMRR]&lt;1000, "N/A", ([@StartMRR]+[@Expansion]-[@Contraction]-[@Churn]) / [@StartMRR]))</f>
        <v/>
      </c>
      <c r="AR23">
        <f>IF(OR([@Spend]="",[@NewCustomers]=""), "", IF([@NewCustomers]&lt;=0, "N/A", [@Spend]/[@NewCustomers]))</f>
        <v/>
      </c>
      <c r="AS23">
        <f>IF(OR([@ARPA]="",[@GM]="",[@ChurnRate]=""), "", IF([@ChurnRate]&lt;=0, "N/A", [@ARPA]*[@GM]/[@ChurnRate]))</f>
        <v/>
      </c>
      <c r="AT23">
        <f>IF(OR([@ARPA]="",[@GM]=""), "", IF(([@ARPA]*[@GM])&lt;=0, "N/A", 200/([@ARPA]*[@GM])))</f>
        <v/>
      </c>
      <c r="AU23">
        <f>IF([@App_ARR]="","",IF(ABS([@App_ARR]-[@Calc_ARR])&lt;0.01,"PASS","FAIL"))</f>
        <v/>
      </c>
      <c r="AV23">
        <f>IF([@App_GM]="","",IF(ABS([@App_GM]-[@Calc_GM])&lt;0.0001,"PASS","FAIL"))</f>
        <v/>
      </c>
      <c r="AW23">
        <f>IF([@App_Burn]="","",IF(ABS([@App_Burn]-[@Calc_Burn])&lt;1,"PASS","FAIL"))</f>
        <v/>
      </c>
      <c r="AX23">
        <f>IF([@App_Runway]="","",IF(OR(AND([@App_Runway]="Cashflow+",[@Calc_Runway]="Cashflow+"),ABS([@App_Runway]-[@Calc_Runway])&lt;0.01),"PASS","FAIL"))</f>
        <v/>
      </c>
      <c r="AY23">
        <f>IF([@App_MoMGrowth]="","",IF(OR(AND([@App_MoMGrowth]="N/A",[@Calc_MoMGrowth]="N/A"),ABS([@App_MoMGrowth]-[@Calc_MoMGrowth])&lt;0.0001),"PASS","FAIL"))</f>
        <v/>
      </c>
      <c r="AZ23">
        <f>IF([@App_NRR]="","",IF(OR(AND([@App_NRR]="N/A",[@Calc_NRR]="N/A"),ABS([@App_NRR]-[@Calc_NRR])&lt;0.0001),"PASS","FAIL"))</f>
        <v/>
      </c>
      <c r="BA23">
        <f>IF([@App_CAC]="","",IF(OR(AND([@App_CAC]="N/A",[@Calc_CAC]="N/A"),ABS([@App_CAC]-[@Calc_CAC])&lt;0.01),"PASS","FAIL"))</f>
        <v/>
      </c>
      <c r="BB23">
        <f>IF([@App_LTV]="","",IF(OR(AND([@App_LTV]="N/A",[@Calc_LTV]="N/A"),ABS([@App_LTV]-[@Calc_LTV])&lt;0.01),"PASS","FAIL"))</f>
        <v/>
      </c>
      <c r="BC23">
        <f>IF([@App_Payback]="","",IF(OR(AND([@App_Payback]="N/A",[@Calc_Payback]="N/A"),ABS([@App_Payback]-[@Calc_Payback])&lt;0.01),"PASS","FAIL"))</f>
        <v/>
      </c>
    </row>
    <row r="24">
      <c r="A24" t="inlineStr">
        <is>
          <t>TC23_CAC_BASIC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200000</v>
      </c>
      <c r="R24" t="n">
        <v>1000</v>
      </c>
      <c r="S24" t="inlineStr">
        <is>
          <t>CAC=200</t>
        </is>
      </c>
      <c r="T24" t="inlineStr"/>
      <c r="U24" t="inlineStr"/>
      <c r="V24" t="inlineStr"/>
      <c r="W24" t="inlineStr"/>
      <c r="X24" t="inlineStr"/>
      <c r="Y24" t="inlineStr"/>
      <c r="Z24" t="n">
        <v>200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>
        <f>IF([@MRR]="", "", [@MRR]*12)</f>
        <v/>
      </c>
      <c r="AM24">
        <f>IF(OR([@Revenue]="",[@Revenue]&lt;=0), "", ([@Revenue]-[@COGS]) / [@Revenue])</f>
        <v/>
      </c>
      <c r="AN24">
        <f>IF(OR([@Revenue]="",[@OpEx]="",[@COGS]=""), "", MAX(0, [@OpEx]+[@COGS]-[@Revenue]))</f>
        <v/>
      </c>
      <c r="AO24">
        <f>IF([@Cash]="", "", IF(OR([@Burn]="",[@Burn]=0), IF([@Calc_Burn]="", "", IF([@Calc_Burn]&lt;=0, "Cashflow+", [@Cash]/[@Calc_Burn])), IF([@Burn]&lt;=0, "Cashflow+", [@Cash]/[@Burn])))</f>
        <v/>
      </c>
      <c r="AP24">
        <f>IF(OR([@Prev]="",[@Curr]=""), "", IF([@Prev]&lt;1000, "N/A", ([@Curr]-[@Prev]) / [@Prev]))</f>
        <v/>
      </c>
      <c r="AQ24">
        <f>IF([@StartMRR]="", "", IF([@StartMRR]&lt;1000, "N/A", ([@StartMRR]+[@Expansion]-[@Contraction]-[@Churn]) / [@StartMRR]))</f>
        <v/>
      </c>
      <c r="AR24">
        <f>IF(OR([@Spend]="",[@NewCustomers]=""), "", IF([@NewCustomers]&lt;=0, "N/A", [@Spend]/[@NewCustomers]))</f>
        <v/>
      </c>
      <c r="AS24">
        <f>IF(OR([@ARPA]="",[@GM]="",[@ChurnRate]=""), "", IF([@ChurnRate]&lt;=0, "N/A", [@ARPA]*[@GM]/[@ChurnRate]))</f>
        <v/>
      </c>
      <c r="AT24">
        <f>IF(OR([@ARPA]="",[@GM]=""), "", IF(([@ARPA]*[@GM])&lt;=0, "N/A", 200/([@ARPA]*[@GM])))</f>
        <v/>
      </c>
      <c r="AU24">
        <f>IF([@App_ARR]="","",IF(ABS([@App_ARR]-[@Calc_ARR])&lt;0.01,"PASS","FAIL"))</f>
        <v/>
      </c>
      <c r="AV24">
        <f>IF([@App_GM]="","",IF(ABS([@App_GM]-[@Calc_GM])&lt;0.0001,"PASS","FAIL"))</f>
        <v/>
      </c>
      <c r="AW24">
        <f>IF([@App_Burn]="","",IF(ABS([@App_Burn]-[@Calc_Burn])&lt;1,"PASS","FAIL"))</f>
        <v/>
      </c>
      <c r="AX24">
        <f>IF([@App_Runway]="","",IF(OR(AND([@App_Runway]="Cashflow+",[@Calc_Runway]="Cashflow+"),ABS([@App_Runway]-[@Calc_Runway])&lt;0.01),"PASS","FAIL"))</f>
        <v/>
      </c>
      <c r="AY24">
        <f>IF([@App_MoMGrowth]="","",IF(OR(AND([@App_MoMGrowth]="N/A",[@Calc_MoMGrowth]="N/A"),ABS([@App_MoMGrowth]-[@Calc_MoMGrowth])&lt;0.0001),"PASS","FAIL"))</f>
        <v/>
      </c>
      <c r="AZ24">
        <f>IF([@App_NRR]="","",IF(OR(AND([@App_NRR]="N/A",[@Calc_NRR]="N/A"),ABS([@App_NRR]-[@Calc_NRR])&lt;0.0001),"PASS","FAIL"))</f>
        <v/>
      </c>
      <c r="BA24">
        <f>IF([@App_CAC]="","",IF(OR(AND([@App_CAC]="N/A",[@Calc_CAC]="N/A"),ABS([@App_CAC]-[@Calc_CAC])&lt;0.01),"PASS","FAIL"))</f>
        <v/>
      </c>
      <c r="BB24">
        <f>IF([@App_LTV]="","",IF(OR(AND([@App_LTV]="N/A",[@Calc_LTV]="N/A"),ABS([@App_LTV]-[@Calc_LTV])&lt;0.01),"PASS","FAIL"))</f>
        <v/>
      </c>
      <c r="BC24">
        <f>IF([@App_Payback]="","",IF(OR(AND([@App_Payback]="N/A",[@Calc_Payback]="N/A"),ABS([@App_Payback]-[@Calc_Payback])&lt;0.01),"PASS","FAIL"))</f>
        <v/>
      </c>
    </row>
    <row r="25">
      <c r="A25" t="inlineStr">
        <is>
          <t>TC24_CAC_ZERO_CUSTOMERS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200000</v>
      </c>
      <c r="R25" t="n">
        <v>0</v>
      </c>
      <c r="S25" t="inlineStr">
        <is>
          <t>CAC N/A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N/A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>
        <f>IF([@MRR]="", "", [@MRR]*12)</f>
        <v/>
      </c>
      <c r="AM25">
        <f>IF(OR([@Revenue]="",[@Revenue]&lt;=0), "", ([@Revenue]-[@COGS]) / [@Revenue])</f>
        <v/>
      </c>
      <c r="AN25">
        <f>IF(OR([@Revenue]="",[@OpEx]="",[@COGS]=""), "", MAX(0, [@OpEx]+[@COGS]-[@Revenue]))</f>
        <v/>
      </c>
      <c r="AO25">
        <f>IF([@Cash]="", "", IF(OR([@Burn]="",[@Burn]=0), IF([@Calc_Burn]="", "", IF([@Calc_Burn]&lt;=0, "Cashflow+", [@Cash]/[@Calc_Burn])), IF([@Burn]&lt;=0, "Cashflow+", [@Cash]/[@Burn])))</f>
        <v/>
      </c>
      <c r="AP25">
        <f>IF(OR([@Prev]="",[@Curr]=""), "", IF([@Prev]&lt;1000, "N/A", ([@Curr]-[@Prev]) / [@Prev]))</f>
        <v/>
      </c>
      <c r="AQ25">
        <f>IF([@StartMRR]="", "", IF([@StartMRR]&lt;1000, "N/A", ([@StartMRR]+[@Expansion]-[@Contraction]-[@Churn]) / [@StartMRR]))</f>
        <v/>
      </c>
      <c r="AR25">
        <f>IF(OR([@Spend]="",[@NewCustomers]=""), "", IF([@NewCustomers]&lt;=0, "N/A", [@Spend]/[@NewCustomers]))</f>
        <v/>
      </c>
      <c r="AS25">
        <f>IF(OR([@ARPA]="",[@GM]="",[@ChurnRate]=""), "", IF([@ChurnRate]&lt;=0, "N/A", [@ARPA]*[@GM]/[@ChurnRate]))</f>
        <v/>
      </c>
      <c r="AT25">
        <f>IF(OR([@ARPA]="",[@GM]=""), "", IF(([@ARPA]*[@GM])&lt;=0, "N/A", 200/([@ARPA]*[@GM])))</f>
        <v/>
      </c>
      <c r="AU25">
        <f>IF([@App_ARR]="","",IF(ABS([@App_ARR]-[@Calc_ARR])&lt;0.01,"PASS","FAIL"))</f>
        <v/>
      </c>
      <c r="AV25">
        <f>IF([@App_GM]="","",IF(ABS([@App_GM]-[@Calc_GM])&lt;0.0001,"PASS","FAIL"))</f>
        <v/>
      </c>
      <c r="AW25">
        <f>IF([@App_Burn]="","",IF(ABS([@App_Burn]-[@Calc_Burn])&lt;1,"PASS","FAIL"))</f>
        <v/>
      </c>
      <c r="AX25">
        <f>IF([@App_Runway]="","",IF(OR(AND([@App_Runway]="Cashflow+",[@Calc_Runway]="Cashflow+"),ABS([@App_Runway]-[@Calc_Runway])&lt;0.01),"PASS","FAIL"))</f>
        <v/>
      </c>
      <c r="AY25">
        <f>IF([@App_MoMGrowth]="","",IF(OR(AND([@App_MoMGrowth]="N/A",[@Calc_MoMGrowth]="N/A"),ABS([@App_MoMGrowth]-[@Calc_MoMGrowth])&lt;0.0001),"PASS","FAIL"))</f>
        <v/>
      </c>
      <c r="AZ25">
        <f>IF([@App_NRR]="","",IF(OR(AND([@App_NRR]="N/A",[@Calc_NRR]="N/A"),ABS([@App_NRR]-[@Calc_NRR])&lt;0.0001),"PASS","FAIL"))</f>
        <v/>
      </c>
      <c r="BA25">
        <f>IF([@App_CAC]="","",IF(OR(AND([@App_CAC]="N/A",[@Calc_CAC]="N/A"),ABS([@App_CAC]-[@Calc_CAC])&lt;0.01),"PASS","FAIL"))</f>
        <v/>
      </c>
      <c r="BB25">
        <f>IF([@App_LTV]="","",IF(OR(AND([@App_LTV]="N/A",[@Calc_LTV]="N/A"),ABS([@App_LTV]-[@Calc_LTV])&lt;0.01),"PASS","FAIL"))</f>
        <v/>
      </c>
      <c r="BC25">
        <f>IF([@App_Payback]="","",IF(OR(AND([@App_Payback]="N/A",[@Calc_Payback]="N/A"),ABS([@App_Payback]-[@Calc_Payback])&lt;0.01),"PASS","FAIL"))</f>
        <v/>
      </c>
    </row>
    <row r="26">
      <c r="A26" t="inlineStr">
        <is>
          <t>TC25_LTV_BASIC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50</v>
      </c>
      <c r="O26" t="n">
        <v>0.7</v>
      </c>
      <c r="P26" t="n">
        <v>0.05</v>
      </c>
      <c r="Q26" t="inlineStr"/>
      <c r="R26" t="inlineStr"/>
      <c r="S26" t="inlineStr">
        <is>
          <t>LTV=700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n">
        <v>700</v>
      </c>
      <c r="AB26" t="n">
        <v>5.714285714285714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>
        <f>IF([@MRR]="", "", [@MRR]*12)</f>
        <v/>
      </c>
      <c r="AM26">
        <f>IF(OR([@Revenue]="",[@Revenue]&lt;=0), "", ([@Revenue]-[@COGS]) / [@Revenue])</f>
        <v/>
      </c>
      <c r="AN26">
        <f>IF(OR([@Revenue]="",[@OpEx]="",[@COGS]=""), "", MAX(0, [@OpEx]+[@COGS]-[@Revenue]))</f>
        <v/>
      </c>
      <c r="AO26">
        <f>IF([@Cash]="", "", IF(OR([@Burn]="",[@Burn]=0), IF([@Calc_Burn]="", "", IF([@Calc_Burn]&lt;=0, "Cashflow+", [@Cash]/[@Calc_Burn])), IF([@Burn]&lt;=0, "Cashflow+", [@Cash]/[@Burn])))</f>
        <v/>
      </c>
      <c r="AP26">
        <f>IF(OR([@Prev]="",[@Curr]=""), "", IF([@Prev]&lt;1000, "N/A", ([@Curr]-[@Prev]) / [@Prev]))</f>
        <v/>
      </c>
      <c r="AQ26">
        <f>IF([@StartMRR]="", "", IF([@StartMRR]&lt;1000, "N/A", ([@StartMRR]+[@Expansion]-[@Contraction]-[@Churn]) / [@StartMRR]))</f>
        <v/>
      </c>
      <c r="AR26">
        <f>IF(OR([@Spend]="",[@NewCustomers]=""), "", IF([@NewCustomers]&lt;=0, "N/A", [@Spend]/[@NewCustomers]))</f>
        <v/>
      </c>
      <c r="AS26">
        <f>IF(OR([@ARPA]="",[@GM]="",[@ChurnRate]=""), "", IF([@ChurnRate]&lt;=0, "N/A", [@ARPA]*[@GM]/[@ChurnRate]))</f>
        <v/>
      </c>
      <c r="AT26">
        <f>IF(OR([@ARPA]="",[@GM]=""), "", IF(([@ARPA]*[@GM])&lt;=0, "N/A", 200/([@ARPA]*[@GM])))</f>
        <v/>
      </c>
      <c r="AU26">
        <f>IF([@App_ARR]="","",IF(ABS([@App_ARR]-[@Calc_ARR])&lt;0.01,"PASS","FAIL"))</f>
        <v/>
      </c>
      <c r="AV26">
        <f>IF([@App_GM]="","",IF(ABS([@App_GM]-[@Calc_GM])&lt;0.0001,"PASS","FAIL"))</f>
        <v/>
      </c>
      <c r="AW26">
        <f>IF([@App_Burn]="","",IF(ABS([@App_Burn]-[@Calc_Burn])&lt;1,"PASS","FAIL"))</f>
        <v/>
      </c>
      <c r="AX26">
        <f>IF([@App_Runway]="","",IF(OR(AND([@App_Runway]="Cashflow+",[@Calc_Runway]="Cashflow+"),ABS([@App_Runway]-[@Calc_Runway])&lt;0.01),"PASS","FAIL"))</f>
        <v/>
      </c>
      <c r="AY26">
        <f>IF([@App_MoMGrowth]="","",IF(OR(AND([@App_MoMGrowth]="N/A",[@Calc_MoMGrowth]="N/A"),ABS([@App_MoMGrowth]-[@Calc_MoMGrowth])&lt;0.0001),"PASS","FAIL"))</f>
        <v/>
      </c>
      <c r="AZ26">
        <f>IF([@App_NRR]="","",IF(OR(AND([@App_NRR]="N/A",[@Calc_NRR]="N/A"),ABS([@App_NRR]-[@Calc_NRR])&lt;0.0001),"PASS","FAIL"))</f>
        <v/>
      </c>
      <c r="BA26">
        <f>IF([@App_CAC]="","",IF(OR(AND([@App_CAC]="N/A",[@Calc_CAC]="N/A"),ABS([@App_CAC]-[@Calc_CAC])&lt;0.01),"PASS","FAIL"))</f>
        <v/>
      </c>
      <c r="BB26">
        <f>IF([@App_LTV]="","",IF(OR(AND([@App_LTV]="N/A",[@Calc_LTV]="N/A"),ABS([@App_LTV]-[@Calc_LTV])&lt;0.01),"PASS","FAIL"))</f>
        <v/>
      </c>
      <c r="BC26">
        <f>IF([@App_Payback]="","",IF(OR(AND([@App_Payback]="N/A",[@Calc_Payback]="N/A"),ABS([@App_Payback]-[@Calc_Payback])&lt;0.01),"PASS","FAIL"))</f>
        <v/>
      </c>
    </row>
    <row r="27">
      <c r="A27" t="inlineStr">
        <is>
          <t>TC26_PAYBACK_BASIC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</v>
      </c>
      <c r="O27" t="n">
        <v>0.7</v>
      </c>
      <c r="P27" t="inlineStr"/>
      <c r="Q27" t="inlineStr"/>
      <c r="R27" t="inlineStr"/>
      <c r="S27" t="inlineStr">
        <is>
          <t>Payback uses CAC=200 =&gt; 5.714mo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5.714285714285714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>
        <f>IF([@MRR]="", "", [@MRR]*12)</f>
        <v/>
      </c>
      <c r="AM27">
        <f>IF(OR([@Revenue]="",[@Revenue]&lt;=0), "", ([@Revenue]-[@COGS]) / [@Revenue])</f>
        <v/>
      </c>
      <c r="AN27">
        <f>IF(OR([@Revenue]="",[@OpEx]="",[@COGS]=""), "", MAX(0, [@OpEx]+[@COGS]-[@Revenue]))</f>
        <v/>
      </c>
      <c r="AO27">
        <f>IF([@Cash]="", "", IF(OR([@Burn]="",[@Burn]=0), IF([@Calc_Burn]="", "", IF([@Calc_Burn]&lt;=0, "Cashflow+", [@Cash]/[@Calc_Burn])), IF([@Burn]&lt;=0, "Cashflow+", [@Cash]/[@Burn])))</f>
        <v/>
      </c>
      <c r="AP27">
        <f>IF(OR([@Prev]="",[@Curr]=""), "", IF([@Prev]&lt;1000, "N/A", ([@Curr]-[@Prev]) / [@Prev]))</f>
        <v/>
      </c>
      <c r="AQ27">
        <f>IF([@StartMRR]="", "", IF([@StartMRR]&lt;1000, "N/A", ([@StartMRR]+[@Expansion]-[@Contraction]-[@Churn]) / [@StartMRR]))</f>
        <v/>
      </c>
      <c r="AR27">
        <f>IF(OR([@Spend]="",[@NewCustomers]=""), "", IF([@NewCustomers]&lt;=0, "N/A", [@Spend]/[@NewCustomers]))</f>
        <v/>
      </c>
      <c r="AS27">
        <f>IF(OR([@ARPA]="",[@GM]="",[@ChurnRate]=""), "", IF([@ChurnRate]&lt;=0, "N/A", [@ARPA]*[@GM]/[@ChurnRate]))</f>
        <v/>
      </c>
      <c r="AT27">
        <f>IF(OR([@ARPA]="",[@GM]=""), "", IF(([@ARPA]*[@GM])&lt;=0, "N/A", 200/([@ARPA]*[@GM])))</f>
        <v/>
      </c>
      <c r="AU27">
        <f>IF([@App_ARR]="","",IF(ABS([@App_ARR]-[@Calc_ARR])&lt;0.01,"PASS","FAIL"))</f>
        <v/>
      </c>
      <c r="AV27">
        <f>IF([@App_GM]="","",IF(ABS([@App_GM]-[@Calc_GM])&lt;0.0001,"PASS","FAIL"))</f>
        <v/>
      </c>
      <c r="AW27">
        <f>IF([@App_Burn]="","",IF(ABS([@App_Burn]-[@Calc_Burn])&lt;1,"PASS","FAIL"))</f>
        <v/>
      </c>
      <c r="AX27">
        <f>IF([@App_Runway]="","",IF(OR(AND([@App_Runway]="Cashflow+",[@Calc_Runway]="Cashflow+"),ABS([@App_Runway]-[@Calc_Runway])&lt;0.01),"PASS","FAIL"))</f>
        <v/>
      </c>
      <c r="AY27">
        <f>IF([@App_MoMGrowth]="","",IF(OR(AND([@App_MoMGrowth]="N/A",[@Calc_MoMGrowth]="N/A"),ABS([@App_MoMGrowth]-[@Calc_MoMGrowth])&lt;0.0001),"PASS","FAIL"))</f>
        <v/>
      </c>
      <c r="AZ27">
        <f>IF([@App_NRR]="","",IF(OR(AND([@App_NRR]="N/A",[@Calc_NRR]="N/A"),ABS([@App_NRR]-[@Calc_NRR])&lt;0.0001),"PASS","FAIL"))</f>
        <v/>
      </c>
      <c r="BA27">
        <f>IF([@App_CAC]="","",IF(OR(AND([@App_CAC]="N/A",[@Calc_CAC]="N/A"),ABS([@App_CAC]-[@Calc_CAC])&lt;0.01),"PASS","FAIL"))</f>
        <v/>
      </c>
      <c r="BB27">
        <f>IF([@App_LTV]="","",IF(OR(AND([@App_LTV]="N/A",[@Calc_LTV]="N/A"),ABS([@App_LTV]-[@Calc_LTV])&lt;0.01),"PASS","FAIL"))</f>
        <v/>
      </c>
      <c r="BC27">
        <f>IF([@App_Payback]="","",IF(OR(AND([@App_Payback]="N/A",[@Calc_Payback]="N/A"),ABS([@App_Payback]-[@Calc_Payback])&lt;0.01),"PASS","FAIL"))</f>
        <v/>
      </c>
    </row>
    <row r="28">
      <c r="A28" t="inlineStr">
        <is>
          <t>TC27_BASELINE_STATUS_QUO_DELTA</t>
        </is>
      </c>
      <c r="B28" t="n">
        <v>4500000</v>
      </c>
      <c r="C28" t="n">
        <v>382000</v>
      </c>
      <c r="D28" t="n">
        <v>520000</v>
      </c>
      <c r="E28" t="n">
        <v>520000</v>
      </c>
      <c r="F28" t="n">
        <v>52000</v>
      </c>
      <c r="G28" t="n">
        <v>850000</v>
      </c>
      <c r="H28" t="n">
        <v>520000</v>
      </c>
      <c r="I28" t="n">
        <v>520000</v>
      </c>
      <c r="J28" t="n">
        <v>100000</v>
      </c>
      <c r="K28" t="n">
        <v>0</v>
      </c>
      <c r="L28" t="n">
        <v>0</v>
      </c>
      <c r="M28" t="n">
        <v>0</v>
      </c>
      <c r="N28" t="n">
        <v>60</v>
      </c>
      <c r="O28" t="n">
        <v>0.8</v>
      </c>
      <c r="P28" t="n">
        <v>0.04</v>
      </c>
      <c r="Q28" t="n">
        <v>100000</v>
      </c>
      <c r="R28" t="n">
        <v>1000</v>
      </c>
      <c r="S28" t="inlineStr">
        <is>
          <t>App scenario delta should be 0 for status quo; paste app baseline &amp; scenario outputs in 'App_*' columns</t>
        </is>
      </c>
      <c r="T28" t="n">
        <v>6240000</v>
      </c>
      <c r="U28" t="n">
        <v>0.9</v>
      </c>
      <c r="V28" t="n">
        <v>382000</v>
      </c>
      <c r="W28" t="n">
        <v>11.78010471204188</v>
      </c>
      <c r="X28" t="n">
        <v>0</v>
      </c>
      <c r="Y28" t="n">
        <v>1</v>
      </c>
      <c r="Z28" t="n">
        <v>100</v>
      </c>
      <c r="AA28" t="n">
        <v>1200</v>
      </c>
      <c r="AB28" t="n">
        <v>4.166666666666667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>
        <f>IF([@MRR]="", "", [@MRR]*12)</f>
        <v/>
      </c>
      <c r="AM28">
        <f>IF(OR([@Revenue]="",[@Revenue]&lt;=0), "", ([@Revenue]-[@COGS]) / [@Revenue])</f>
        <v/>
      </c>
      <c r="AN28">
        <f>IF(OR([@Revenue]="",[@OpEx]="",[@COGS]=""), "", MAX(0, [@OpEx]+[@COGS]-[@Revenue]))</f>
        <v/>
      </c>
      <c r="AO28">
        <f>IF([@Cash]="", "", IF(OR([@Burn]="",[@Burn]=0), IF([@Calc_Burn]="", "", IF([@Calc_Burn]&lt;=0, "Cashflow+", [@Cash]/[@Calc_Burn])), IF([@Burn]&lt;=0, "Cashflow+", [@Cash]/[@Burn])))</f>
        <v/>
      </c>
      <c r="AP28">
        <f>IF(OR([@Prev]="",[@Curr]=""), "", IF([@Prev]&lt;1000, "N/A", ([@Curr]-[@Prev]) / [@Prev]))</f>
        <v/>
      </c>
      <c r="AQ28">
        <f>IF([@StartMRR]="", "", IF([@StartMRR]&lt;1000, "N/A", ([@StartMRR]+[@Expansion]-[@Contraction]-[@Churn]) / [@StartMRR]))</f>
        <v/>
      </c>
      <c r="AR28">
        <f>IF(OR([@Spend]="",[@NewCustomers]=""), "", IF([@NewCustomers]&lt;=0, "N/A", [@Spend]/[@NewCustomers]))</f>
        <v/>
      </c>
      <c r="AS28">
        <f>IF(OR([@ARPA]="",[@GM]="",[@ChurnRate]=""), "", IF([@ChurnRate]&lt;=0, "N/A", [@ARPA]*[@GM]/[@ChurnRate]))</f>
        <v/>
      </c>
      <c r="AT28">
        <f>IF(OR([@ARPA]="",[@GM]=""), "", IF(([@ARPA]*[@GM])&lt;=0, "N/A", 200/([@ARPA]*[@GM])))</f>
        <v/>
      </c>
      <c r="AU28">
        <f>IF([@App_ARR]="","",IF(ABS([@App_ARR]-[@Calc_ARR])&lt;0.01,"PASS","FAIL"))</f>
        <v/>
      </c>
      <c r="AV28">
        <f>IF([@App_GM]="","",IF(ABS([@App_GM]-[@Calc_GM])&lt;0.0001,"PASS","FAIL"))</f>
        <v/>
      </c>
      <c r="AW28">
        <f>IF([@App_Burn]="","",IF(ABS([@App_Burn]-[@Calc_Burn])&lt;1,"PASS","FAIL"))</f>
        <v/>
      </c>
      <c r="AX28">
        <f>IF([@App_Runway]="","",IF(OR(AND([@App_Runway]="Cashflow+",[@Calc_Runway]="Cashflow+"),ABS([@App_Runway]-[@Calc_Runway])&lt;0.01),"PASS","FAIL"))</f>
        <v/>
      </c>
      <c r="AY28">
        <f>IF([@App_MoMGrowth]="","",IF(OR(AND([@App_MoMGrowth]="N/A",[@Calc_MoMGrowth]="N/A"),ABS([@App_MoMGrowth]-[@Calc_MoMGrowth])&lt;0.0001),"PASS","FAIL"))</f>
        <v/>
      </c>
      <c r="AZ28">
        <f>IF([@App_NRR]="","",IF(OR(AND([@App_NRR]="N/A",[@Calc_NRR]="N/A"),ABS([@App_NRR]-[@Calc_NRR])&lt;0.0001),"PASS","FAIL"))</f>
        <v/>
      </c>
      <c r="BA28">
        <f>IF([@App_CAC]="","",IF(OR(AND([@App_CAC]="N/A",[@Calc_CAC]="N/A"),ABS([@App_CAC]-[@Calc_CAC])&lt;0.01),"PASS","FAIL"))</f>
        <v/>
      </c>
      <c r="BB28">
        <f>IF([@App_LTV]="","",IF(OR(AND([@App_LTV]="N/A",[@Calc_LTV]="N/A"),ABS([@App_LTV]-[@Calc_LTV])&lt;0.01),"PASS","FAIL"))</f>
        <v/>
      </c>
      <c r="BC28">
        <f>IF([@App_Payback]="","",IF(OR(AND([@App_Payback]="N/A",[@Calc_Payback]="N/A"),ABS([@App_Payback]-[@Calc_Payback])&lt;0.01),"PASS","FAIL"))</f>
        <v/>
      </c>
    </row>
    <row r="29">
      <c r="A29" t="inlineStr">
        <is>
          <t>TC28_SCENARIO_COST_CUT</t>
        </is>
      </c>
      <c r="B29" t="n">
        <v>4000000</v>
      </c>
      <c r="C29" t="n">
        <v>400000</v>
      </c>
      <c r="D29" t="n">
        <v>300000</v>
      </c>
      <c r="E29" t="n">
        <v>1000000</v>
      </c>
      <c r="F29" t="n">
        <v>300000</v>
      </c>
      <c r="G29" t="n">
        <v>900000</v>
      </c>
      <c r="H29" t="n">
        <v>1000000</v>
      </c>
      <c r="I29" t="n">
        <v>1000000</v>
      </c>
      <c r="J29" t="n">
        <v>120000</v>
      </c>
      <c r="K29" t="n">
        <v>0</v>
      </c>
      <c r="L29" t="n">
        <v>0</v>
      </c>
      <c r="M29" t="n">
        <v>0</v>
      </c>
      <c r="N29" t="n">
        <v>55</v>
      </c>
      <c r="O29" t="n">
        <v>0.7</v>
      </c>
      <c r="P29" t="n">
        <v>0.05</v>
      </c>
      <c r="Q29" t="n">
        <v>150000</v>
      </c>
      <c r="R29" t="n">
        <v>1200</v>
      </c>
      <c r="S29" t="inlineStr">
        <is>
          <t>If OpEx reduced (in app scenario), runway must increase; use app to simulate and paste outputs</t>
        </is>
      </c>
      <c r="T29" t="n">
        <v>3600000</v>
      </c>
      <c r="U29" t="n">
        <v>0.7</v>
      </c>
      <c r="V29" t="n">
        <v>200000</v>
      </c>
      <c r="W29" t="n">
        <v>10</v>
      </c>
      <c r="X29" t="n">
        <v>0</v>
      </c>
      <c r="Y29" t="n">
        <v>1</v>
      </c>
      <c r="Z29" t="n">
        <v>125</v>
      </c>
      <c r="AA29" t="n">
        <v>770</v>
      </c>
      <c r="AB29" t="n">
        <v>5.194805194805195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>
        <f>IF([@MRR]="", "", [@MRR]*12)</f>
        <v/>
      </c>
      <c r="AM29">
        <f>IF(OR([@Revenue]="",[@Revenue]&lt;=0), "", ([@Revenue]-[@COGS]) / [@Revenue])</f>
        <v/>
      </c>
      <c r="AN29">
        <f>IF(OR([@Revenue]="",[@OpEx]="",[@COGS]=""), "", MAX(0, [@OpEx]+[@COGS]-[@Revenue]))</f>
        <v/>
      </c>
      <c r="AO29">
        <f>IF([@Cash]="", "", IF(OR([@Burn]="",[@Burn]=0), IF([@Calc_Burn]="", "", IF([@Calc_Burn]&lt;=0, "Cashflow+", [@Cash]/[@Calc_Burn])), IF([@Burn]&lt;=0, "Cashflow+", [@Cash]/[@Burn])))</f>
        <v/>
      </c>
      <c r="AP29">
        <f>IF(OR([@Prev]="",[@Curr]=""), "", IF([@Prev]&lt;1000, "N/A", ([@Curr]-[@Prev]) / [@Prev]))</f>
        <v/>
      </c>
      <c r="AQ29">
        <f>IF([@StartMRR]="", "", IF([@StartMRR]&lt;1000, "N/A", ([@StartMRR]+[@Expansion]-[@Contraction]-[@Churn]) / [@StartMRR]))</f>
        <v/>
      </c>
      <c r="AR29">
        <f>IF(OR([@Spend]="",[@NewCustomers]=""), "", IF([@NewCustomers]&lt;=0, "N/A", [@Spend]/[@NewCustomers]))</f>
        <v/>
      </c>
      <c r="AS29">
        <f>IF(OR([@ARPA]="",[@GM]="",[@ChurnRate]=""), "", IF([@ChurnRate]&lt;=0, "N/A", [@ARPA]*[@GM]/[@ChurnRate]))</f>
        <v/>
      </c>
      <c r="AT29">
        <f>IF(OR([@ARPA]="",[@GM]=""), "", IF(([@ARPA]*[@GM])&lt;=0, "N/A", 200/([@ARPA]*[@GM])))</f>
        <v/>
      </c>
      <c r="AU29">
        <f>IF([@App_ARR]="","",IF(ABS([@App_ARR]-[@Calc_ARR])&lt;0.01,"PASS","FAIL"))</f>
        <v/>
      </c>
      <c r="AV29">
        <f>IF([@App_GM]="","",IF(ABS([@App_GM]-[@Calc_GM])&lt;0.0001,"PASS","FAIL"))</f>
        <v/>
      </c>
      <c r="AW29">
        <f>IF([@App_Burn]="","",IF(ABS([@App_Burn]-[@Calc_Burn])&lt;1,"PASS","FAIL"))</f>
        <v/>
      </c>
      <c r="AX29">
        <f>IF([@App_Runway]="","",IF(OR(AND([@App_Runway]="Cashflow+",[@Calc_Runway]="Cashflow+"),ABS([@App_Runway]-[@Calc_Runway])&lt;0.01),"PASS","FAIL"))</f>
        <v/>
      </c>
      <c r="AY29">
        <f>IF([@App_MoMGrowth]="","",IF(OR(AND([@App_MoMGrowth]="N/A",[@Calc_MoMGrowth]="N/A"),ABS([@App_MoMGrowth]-[@Calc_MoMGrowth])&lt;0.0001),"PASS","FAIL"))</f>
        <v/>
      </c>
      <c r="AZ29">
        <f>IF([@App_NRR]="","",IF(OR(AND([@App_NRR]="N/A",[@Calc_NRR]="N/A"),ABS([@App_NRR]-[@Calc_NRR])&lt;0.0001),"PASS","FAIL"))</f>
        <v/>
      </c>
      <c r="BA29">
        <f>IF([@App_CAC]="","",IF(OR(AND([@App_CAC]="N/A",[@Calc_CAC]="N/A"),ABS([@App_CAC]-[@Calc_CAC])&lt;0.01),"PASS","FAIL"))</f>
        <v/>
      </c>
      <c r="BB29">
        <f>IF([@App_LTV]="","",IF(OR(AND([@App_LTV]="N/A",[@Calc_LTV]="N/A"),ABS([@App_LTV]-[@Calc_LTV])&lt;0.01),"PASS","FAIL"))</f>
        <v/>
      </c>
      <c r="BC29">
        <f>IF([@App_Payback]="","",IF(OR(AND([@App_Payback]="N/A",[@Calc_Payback]="N/A"),ABS([@App_Payback]-[@Calc_Payback])&lt;0.01),"PASS","FAIL"))</f>
        <v/>
      </c>
    </row>
    <row r="30">
      <c r="A30" t="inlineStr">
        <is>
          <t>TC29_SCENARIO_REV_DROP</t>
        </is>
      </c>
      <c r="B30" t="n">
        <v>4000000</v>
      </c>
      <c r="C30" t="n">
        <v>200000</v>
      </c>
      <c r="D30" t="n">
        <v>250000</v>
      </c>
      <c r="E30" t="n">
        <v>1000000</v>
      </c>
      <c r="F30" t="n">
        <v>200000</v>
      </c>
      <c r="G30" t="n">
        <v>1000000</v>
      </c>
      <c r="H30" t="n">
        <v>1000000</v>
      </c>
      <c r="I30" t="n">
        <v>700000</v>
      </c>
      <c r="J30" t="n">
        <v>100000</v>
      </c>
      <c r="K30" t="n">
        <v>0</v>
      </c>
      <c r="L30" t="n">
        <v>0</v>
      </c>
      <c r="M30" t="n">
        <v>0</v>
      </c>
      <c r="N30" t="n">
        <v>45</v>
      </c>
      <c r="O30" t="n">
        <v>0.6</v>
      </c>
      <c r="P30" t="n">
        <v>0.06</v>
      </c>
      <c r="Q30" t="n">
        <v>180000</v>
      </c>
      <c r="R30" t="n">
        <v>900</v>
      </c>
      <c r="S30" t="inlineStr">
        <is>
          <t>If revenue drops and costs constant, runway must decrease; paste app scenario output to validate direction</t>
        </is>
      </c>
      <c r="T30" t="n">
        <v>3000000</v>
      </c>
      <c r="U30" t="n">
        <v>0.8</v>
      </c>
      <c r="V30" t="n">
        <v>200000</v>
      </c>
      <c r="W30" t="n">
        <v>20</v>
      </c>
      <c r="X30" t="n">
        <v>-0.3</v>
      </c>
      <c r="Y30" t="n">
        <v>1</v>
      </c>
      <c r="Z30" t="n">
        <v>200</v>
      </c>
      <c r="AA30" t="n">
        <v>450</v>
      </c>
      <c r="AB30" t="n">
        <v>7.407407407407407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>
        <f>IF([@MRR]="", "", [@MRR]*12)</f>
        <v/>
      </c>
      <c r="AM30">
        <f>IF(OR([@Revenue]="",[@Revenue]&lt;=0), "", ([@Revenue]-[@COGS]) / [@Revenue])</f>
        <v/>
      </c>
      <c r="AN30">
        <f>IF(OR([@Revenue]="",[@OpEx]="",[@COGS]=""), "", MAX(0, [@OpEx]+[@COGS]-[@Revenue]))</f>
        <v/>
      </c>
      <c r="AO30">
        <f>IF([@Cash]="", "", IF(OR([@Burn]="",[@Burn]=0), IF([@Calc_Burn]="", "", IF([@Calc_Burn]&lt;=0, "Cashflow+", [@Cash]/[@Calc_Burn])), IF([@Burn]&lt;=0, "Cashflow+", [@Cash]/[@Burn])))</f>
        <v/>
      </c>
      <c r="AP30">
        <f>IF(OR([@Prev]="",[@Curr]=""), "", IF([@Prev]&lt;1000, "N/A", ([@Curr]-[@Prev]) / [@Prev]))</f>
        <v/>
      </c>
      <c r="AQ30">
        <f>IF([@StartMRR]="", "", IF([@StartMRR]&lt;1000, "N/A", ([@StartMRR]+[@Expansion]-[@Contraction]-[@Churn]) / [@StartMRR]))</f>
        <v/>
      </c>
      <c r="AR30">
        <f>IF(OR([@Spend]="",[@NewCustomers]=""), "", IF([@NewCustomers]&lt;=0, "N/A", [@Spend]/[@NewCustomers]))</f>
        <v/>
      </c>
      <c r="AS30">
        <f>IF(OR([@ARPA]="",[@GM]="",[@ChurnRate]=""), "", IF([@ChurnRate]&lt;=0, "N/A", [@ARPA]*[@GM]/[@ChurnRate]))</f>
        <v/>
      </c>
      <c r="AT30">
        <f>IF(OR([@ARPA]="",[@GM]=""), "", IF(([@ARPA]*[@GM])&lt;=0, "N/A", 200/([@ARPA]*[@GM])))</f>
        <v/>
      </c>
      <c r="AU30">
        <f>IF([@App_ARR]="","",IF(ABS([@App_ARR]-[@Calc_ARR])&lt;0.01,"PASS","FAIL"))</f>
        <v/>
      </c>
      <c r="AV30">
        <f>IF([@App_GM]="","",IF(ABS([@App_GM]-[@Calc_GM])&lt;0.0001,"PASS","FAIL"))</f>
        <v/>
      </c>
      <c r="AW30">
        <f>IF([@App_Burn]="","",IF(ABS([@App_Burn]-[@Calc_Burn])&lt;1,"PASS","FAIL"))</f>
        <v/>
      </c>
      <c r="AX30">
        <f>IF([@App_Runway]="","",IF(OR(AND([@App_Runway]="Cashflow+",[@Calc_Runway]="Cashflow+"),ABS([@App_Runway]-[@Calc_Runway])&lt;0.01),"PASS","FAIL"))</f>
        <v/>
      </c>
      <c r="AY30">
        <f>IF([@App_MoMGrowth]="","",IF(OR(AND([@App_MoMGrowth]="N/A",[@Calc_MoMGrowth]="N/A"),ABS([@App_MoMGrowth]-[@Calc_MoMGrowth])&lt;0.0001),"PASS","FAIL"))</f>
        <v/>
      </c>
      <c r="AZ30">
        <f>IF([@App_NRR]="","",IF(OR(AND([@App_NRR]="N/A",[@Calc_NRR]="N/A"),ABS([@App_NRR]-[@Calc_NRR])&lt;0.0001),"PASS","FAIL"))</f>
        <v/>
      </c>
      <c r="BA30">
        <f>IF([@App_CAC]="","",IF(OR(AND([@App_CAC]="N/A",[@Calc_CAC]="N/A"),ABS([@App_CAC]-[@Calc_CAC])&lt;0.01),"PASS","FAIL"))</f>
        <v/>
      </c>
      <c r="BB30">
        <f>IF([@App_LTV]="","",IF(OR(AND([@App_LTV]="N/A",[@Calc_LTV]="N/A"),ABS([@App_LTV]-[@Calc_LTV])&lt;0.01),"PASS","FAIL"))</f>
        <v/>
      </c>
      <c r="BC30">
        <f>IF([@App_Payback]="","",IF(OR(AND([@App_Payback]="N/A",[@Calc_Payback]="N/A"),ABS([@App_Payback]-[@Calc_Payback])&lt;0.01),"PASS","FAIL"))</f>
        <v/>
      </c>
    </row>
    <row r="31">
      <c r="A31" t="inlineStr">
        <is>
          <t>TC30_SCENARIO_MARKETING_CUT_NLP</t>
        </is>
      </c>
      <c r="B31" t="n">
        <v>8000000</v>
      </c>
      <c r="C31" t="n">
        <v>600000</v>
      </c>
      <c r="D31" t="n">
        <v>1250000</v>
      </c>
      <c r="E31" t="n">
        <v>1250000</v>
      </c>
      <c r="F31" t="n">
        <v>350000</v>
      </c>
      <c r="G31" t="n">
        <v>1500000</v>
      </c>
      <c r="H31" t="n">
        <v>1250000</v>
      </c>
      <c r="I31" t="n">
        <v>1250000</v>
      </c>
      <c r="J31" t="n">
        <v>200000</v>
      </c>
      <c r="K31" t="n">
        <v>20000</v>
      </c>
      <c r="L31" t="n">
        <v>10000</v>
      </c>
      <c r="M31" t="n">
        <v>5000</v>
      </c>
      <c r="N31" t="n">
        <v>40</v>
      </c>
      <c r="O31" t="n">
        <v>0.72</v>
      </c>
      <c r="P31" t="n">
        <v>0.052</v>
      </c>
      <c r="Q31" t="n">
        <v>500000</v>
      </c>
      <c r="R31" t="n">
        <v>5000</v>
      </c>
      <c r="S31" t="inlineStr">
        <is>
          <t>Text 'Cut marketing 25%' must reduce marketing cost and not increase growth. Paste app parsed parameters &amp; outputs.</t>
        </is>
      </c>
      <c r="T31" t="n">
        <v>15000000</v>
      </c>
      <c r="U31" t="n">
        <v>0.72</v>
      </c>
      <c r="V31" t="n">
        <v>600000</v>
      </c>
      <c r="W31" t="n">
        <v>13.33333333333333</v>
      </c>
      <c r="X31" t="n">
        <v>0</v>
      </c>
      <c r="Y31" t="n">
        <v>1.025</v>
      </c>
      <c r="Z31" t="n">
        <v>100</v>
      </c>
      <c r="AA31" t="n">
        <v>553.8461538461538</v>
      </c>
      <c r="AB31" t="n">
        <v>6.944444444444446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>
        <f>IF([@MRR]="", "", [@MRR]*12)</f>
        <v/>
      </c>
      <c r="AM31">
        <f>IF(OR([@Revenue]="",[@Revenue]&lt;=0), "", ([@Revenue]-[@COGS]) / [@Revenue])</f>
        <v/>
      </c>
      <c r="AN31">
        <f>IF(OR([@Revenue]="",[@OpEx]="",[@COGS]=""), "", MAX(0, [@OpEx]+[@COGS]-[@Revenue]))</f>
        <v/>
      </c>
      <c r="AO31">
        <f>IF([@Cash]="", "", IF(OR([@Burn]="",[@Burn]=0), IF([@Calc_Burn]="", "", IF([@Calc_Burn]&lt;=0, "Cashflow+", [@Cash]/[@Calc_Burn])), IF([@Burn]&lt;=0, "Cashflow+", [@Cash]/[@Burn])))</f>
        <v/>
      </c>
      <c r="AP31">
        <f>IF(OR([@Prev]="",[@Curr]=""), "", IF([@Prev]&lt;1000, "N/A", ([@Curr]-[@Prev]) / [@Prev]))</f>
        <v/>
      </c>
      <c r="AQ31">
        <f>IF([@StartMRR]="", "", IF([@StartMRR]&lt;1000, "N/A", ([@StartMRR]+[@Expansion]-[@Contraction]-[@Churn]) / [@StartMRR]))</f>
        <v/>
      </c>
      <c r="AR31">
        <f>IF(OR([@Spend]="",[@NewCustomers]=""), "", IF([@NewCustomers]&lt;=0, "N/A", [@Spend]/[@NewCustomers]))</f>
        <v/>
      </c>
      <c r="AS31">
        <f>IF(OR([@ARPA]="",[@GM]="",[@ChurnRate]=""), "", IF([@ChurnRate]&lt;=0, "N/A", [@ARPA]*[@GM]/[@ChurnRate]))</f>
        <v/>
      </c>
      <c r="AT31">
        <f>IF(OR([@ARPA]="",[@GM]=""), "", IF(([@ARPA]*[@GM])&lt;=0, "N/A", 200/([@ARPA]*[@GM])))</f>
        <v/>
      </c>
      <c r="AU31">
        <f>IF([@App_ARR]="","",IF(ABS([@App_ARR]-[@Calc_ARR])&lt;0.01,"PASS","FAIL"))</f>
        <v/>
      </c>
      <c r="AV31">
        <f>IF([@App_GM]="","",IF(ABS([@App_GM]-[@Calc_GM])&lt;0.0001,"PASS","FAIL"))</f>
        <v/>
      </c>
      <c r="AW31">
        <f>IF([@App_Burn]="","",IF(ABS([@App_Burn]-[@Calc_Burn])&lt;1,"PASS","FAIL"))</f>
        <v/>
      </c>
      <c r="AX31">
        <f>IF([@App_Runway]="","",IF(OR(AND([@App_Runway]="Cashflow+",[@Calc_Runway]="Cashflow+"),ABS([@App_Runway]-[@Calc_Runway])&lt;0.01),"PASS","FAIL"))</f>
        <v/>
      </c>
      <c r="AY31">
        <f>IF([@App_MoMGrowth]="","",IF(OR(AND([@App_MoMGrowth]="N/A",[@Calc_MoMGrowth]="N/A"),ABS([@App_MoMGrowth]-[@Calc_MoMGrowth])&lt;0.0001),"PASS","FAIL"))</f>
        <v/>
      </c>
      <c r="AZ31">
        <f>IF([@App_NRR]="","",IF(OR(AND([@App_NRR]="N/A",[@Calc_NRR]="N/A"),ABS([@App_NRR]-[@Calc_NRR])&lt;0.0001),"PASS","FAIL"))</f>
        <v/>
      </c>
      <c r="BA31">
        <f>IF([@App_CAC]="","",IF(OR(AND([@App_CAC]="N/A",[@Calc_CAC]="N/A"),ABS([@App_CAC]-[@Calc_CAC])&lt;0.01),"PASS","FAIL"))</f>
        <v/>
      </c>
      <c r="BB31">
        <f>IF([@App_LTV]="","",IF(OR(AND([@App_LTV]="N/A",[@Calc_LTV]="N/A"),ABS([@App_LTV]-[@Calc_LTV])&lt;0.01),"PASS","FAIL"))</f>
        <v/>
      </c>
      <c r="BC31">
        <f>IF([@App_Payback]="","",IF(OR(AND([@App_Payback]="N/A",[@Calc_Payback]="N/A"),ABS([@App_Payback]-[@Calc_Payback])&lt;0.01),"PASS","FAIL"))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2" customWidth="1" min="4" max="4"/>
    <col width="8" customWidth="1" min="5" max="5"/>
  </cols>
  <sheetData>
    <row r="1">
      <c r="A1" s="4" t="inlineStr">
        <is>
          <t>Calc Fixtures v2 — PASS/FAIL Summary</t>
        </is>
      </c>
    </row>
    <row r="3">
      <c r="A3" t="inlineStr">
        <is>
          <t>Fill App_* columns in 'Calc Fixtures v2' with your application's outputs.</t>
        </is>
      </c>
    </row>
    <row r="4">
      <c r="A4" t="inlineStr">
        <is>
          <t>PF_* columns will auto-evaluate PASS/FAIL against Excel-calculated values.</t>
        </is>
      </c>
    </row>
    <row r="6">
      <c r="A6" s="5" t="inlineStr">
        <is>
          <t>PASS counts:</t>
        </is>
      </c>
    </row>
    <row r="7">
      <c r="A7" t="inlineStr">
        <is>
          <t>ARR</t>
        </is>
      </c>
      <c r="B7">
        <f>COUNTIF('Calc Fixtures v2'!AU:AU,"PASS")</f>
        <v/>
      </c>
      <c r="C7" t="inlineStr">
        <is>
          <t>PASS</t>
        </is>
      </c>
      <c r="D7">
        <f>COUNTIF('Calc Fixtures v2'!AU:AU,"FAIL")</f>
        <v/>
      </c>
      <c r="E7" t="inlineStr">
        <is>
          <t>FAIL</t>
        </is>
      </c>
    </row>
    <row r="8">
      <c r="A8" t="inlineStr">
        <is>
          <t>GM</t>
        </is>
      </c>
      <c r="B8">
        <f>COUNTIF('Calc Fixtures v2'!AV:AV,"PASS")</f>
        <v/>
      </c>
      <c r="C8" t="inlineStr">
        <is>
          <t>PASS</t>
        </is>
      </c>
      <c r="D8">
        <f>COUNTIF('Calc Fixtures v2'!AV:AV,"FAIL")</f>
        <v/>
      </c>
      <c r="E8" t="inlineStr">
        <is>
          <t>FAIL</t>
        </is>
      </c>
    </row>
    <row r="9">
      <c r="A9" t="inlineStr">
        <is>
          <t>Burn</t>
        </is>
      </c>
      <c r="B9">
        <f>COUNTIF('Calc Fixtures v2'!AW:AW,"PASS")</f>
        <v/>
      </c>
      <c r="C9" t="inlineStr">
        <is>
          <t>PASS</t>
        </is>
      </c>
      <c r="D9">
        <f>COUNTIF('Calc Fixtures v2'!AW:AW,"FAIL")</f>
        <v/>
      </c>
      <c r="E9" t="inlineStr">
        <is>
          <t>FAIL</t>
        </is>
      </c>
    </row>
    <row r="10">
      <c r="A10" t="inlineStr">
        <is>
          <t>Runway</t>
        </is>
      </c>
      <c r="B10">
        <f>COUNTIF('Calc Fixtures v2'!AX:AX,"PASS")</f>
        <v/>
      </c>
      <c r="C10" t="inlineStr">
        <is>
          <t>PASS</t>
        </is>
      </c>
      <c r="D10">
        <f>COUNTIF('Calc Fixtures v2'!AX:AX,"FAIL")</f>
        <v/>
      </c>
      <c r="E10" t="inlineStr">
        <is>
          <t>FAIL</t>
        </is>
      </c>
    </row>
    <row r="11">
      <c r="A11" t="inlineStr">
        <is>
          <t>MoM</t>
        </is>
      </c>
      <c r="B11">
        <f>COUNTIF('Calc Fixtures v2'!AY:AY,"PASS")</f>
        <v/>
      </c>
      <c r="C11" t="inlineStr">
        <is>
          <t>PASS</t>
        </is>
      </c>
      <c r="D11">
        <f>COUNTIF('Calc Fixtures v2'!AY:AY,"FAIL")</f>
        <v/>
      </c>
      <c r="E11" t="inlineStr">
        <is>
          <t>FAIL</t>
        </is>
      </c>
    </row>
    <row r="12">
      <c r="A12" t="inlineStr">
        <is>
          <t>NRR</t>
        </is>
      </c>
      <c r="B12">
        <f>COUNTIF('Calc Fixtures v2'!AZ:AZ,"PASS")</f>
        <v/>
      </c>
      <c r="C12" t="inlineStr">
        <is>
          <t>PASS</t>
        </is>
      </c>
      <c r="D12">
        <f>COUNTIF('Calc Fixtures v2'!AZ:AZ,"FAIL")</f>
        <v/>
      </c>
      <c r="E12" t="inlineStr">
        <is>
          <t>FAIL</t>
        </is>
      </c>
    </row>
    <row r="13">
      <c r="A13" t="inlineStr">
        <is>
          <t>CAC</t>
        </is>
      </c>
      <c r="B13">
        <f>COUNTIF('Calc Fixtures v2'!BA:BA,"PASS")</f>
        <v/>
      </c>
      <c r="C13" t="inlineStr">
        <is>
          <t>PASS</t>
        </is>
      </c>
      <c r="D13">
        <f>COUNTIF('Calc Fixtures v2'!BA:BA,"FAIL")</f>
        <v/>
      </c>
      <c r="E13" t="inlineStr">
        <is>
          <t>FAIL</t>
        </is>
      </c>
    </row>
    <row r="14">
      <c r="A14" t="inlineStr">
        <is>
          <t>LTV</t>
        </is>
      </c>
      <c r="B14">
        <f>COUNTIF('Calc Fixtures v2'!BB:BB,"PASS")</f>
        <v/>
      </c>
      <c r="C14" t="inlineStr">
        <is>
          <t>PASS</t>
        </is>
      </c>
      <c r="D14">
        <f>COUNTIF('Calc Fixtures v2'!BB:BB,"FAIL")</f>
        <v/>
      </c>
      <c r="E14" t="inlineStr">
        <is>
          <t>FAIL</t>
        </is>
      </c>
    </row>
    <row r="15">
      <c r="A15" t="inlineStr">
        <is>
          <t>Payback</t>
        </is>
      </c>
      <c r="B15">
        <f>COUNTIF('Calc Fixtures v2'!BC:BC,"PASS")</f>
        <v/>
      </c>
      <c r="C15" t="inlineStr">
        <is>
          <t>PASS</t>
        </is>
      </c>
      <c r="D15">
        <f>COUNTIF('Calc Fixtures v2'!BC:BC,"FAIL")</f>
        <v/>
      </c>
      <c r="E1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Calc_Test_Fixtures_v2.xlsx — How to Use</t>
        </is>
      </c>
    </row>
    <row r="3">
      <c r="A3" t="inlineStr">
        <is>
          <t>1) Use this as a verification harness for KPI math.</t>
        </is>
      </c>
    </row>
    <row r="4">
      <c r="A4" t="inlineStr">
        <is>
          <t>2) For each row, paste your app outputs into App_* columns.</t>
        </is>
      </c>
    </row>
    <row r="5">
      <c r="A5" t="inlineStr">
        <is>
          <t>3) PF_* columns will show PASS/FAIL vs Calc_* values.</t>
        </is>
      </c>
    </row>
    <row r="6">
      <c r="A6" t="inlineStr">
        <is>
          <t>4) Use Summary tab to see how many tests pass per metric.</t>
        </is>
      </c>
    </row>
    <row r="8">
      <c r="A8" t="inlineStr">
        <is>
          <t>Guardrails:</t>
        </is>
      </c>
    </row>
    <row r="9">
      <c r="A9" t="inlineStr">
        <is>
          <t>- If baseline &lt; $1,000 =&gt; show N/A for MoM Growth / NRR.</t>
        </is>
      </c>
    </row>
    <row r="10">
      <c r="A10" t="inlineStr">
        <is>
          <t>- If Burn &lt;= 0 =&gt; show Cashflow+ (or consistent null+label).</t>
        </is>
      </c>
    </row>
    <row r="11">
      <c r="A11" t="inlineStr">
        <is>
          <t>- If Revenue &lt;= 0 =&gt; GM% 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2026-02-17T20:04:53Z</dcterms:created>
  <dcterms:modified xmlns:dcterms="http://purl.org/dc/terms/" xmlns:xsi="http://www.w3.org/2001/XMLSchema-instance" xsi:type="dcterms:W3CDTF">2026-02-17T20:04:53Z</dcterms:modified>
</cp:coreProperties>
</file>